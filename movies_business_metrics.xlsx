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Ajay File's\"/>
    </mc:Choice>
  </mc:AlternateContent>
  <xr:revisionPtr revIDLastSave="0" documentId="13_ncr:1_{92010CAC-AF64-483C-BCEE-CC6BAFC3F586}" xr6:coauthVersionLast="47" xr6:coauthVersionMax="47" xr10:uidLastSave="{00000000-0000-0000-0000-000000000000}"/>
  <bookViews>
    <workbookView xWindow="0" yWindow="0" windowWidth="23040" windowHeight="12960" activeTab="5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  <sheet name="Marvel Financial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9" l="1"/>
  <c r="E14" i="9"/>
  <c r="E13" i="9"/>
  <c r="E12" i="9"/>
  <c r="E11" i="9"/>
  <c r="D15" i="9"/>
  <c r="D14" i="9"/>
  <c r="D13" i="9"/>
  <c r="D12" i="9"/>
  <c r="D11" i="9"/>
  <c r="C14" i="9"/>
  <c r="B15" i="9"/>
  <c r="B14" i="9"/>
  <c r="B13" i="9"/>
  <c r="B12" i="9"/>
  <c r="B11" i="9"/>
  <c r="D4" i="9"/>
  <c r="E4" i="9"/>
  <c r="E8" i="9"/>
  <c r="D8" i="9"/>
  <c r="D5" i="9"/>
  <c r="E7" i="9"/>
  <c r="E6" i="9"/>
  <c r="E5" i="9"/>
  <c r="C7" i="9"/>
  <c r="D45" i="1" l="1"/>
  <c r="D44" i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K2" i="1" a="1"/>
  <c r="K2" i="1" s="1"/>
  <c r="J2" i="1" a="1"/>
  <c r="J2" i="1" s="1"/>
  <c r="I2" i="1" a="1"/>
  <c r="I2" i="1" s="1"/>
  <c r="H2" i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L25" i="1" l="1" a="1"/>
  <c r="L25" i="1" s="1"/>
  <c r="L20" i="1" a="1"/>
  <c r="L20" i="1" s="1"/>
  <c r="D46" i="1"/>
  <c r="P25" i="1" a="1"/>
  <c r="P25" i="1" s="1"/>
  <c r="M23" i="1" a="1"/>
  <c r="M23" i="1" s="1"/>
  <c r="Q23" i="1" s="1" a="1"/>
  <c r="Q23" i="1" s="1"/>
  <c r="M3" i="1" a="1"/>
  <c r="M3" i="1" s="1"/>
  <c r="Q3" i="1" s="1" a="1"/>
  <c r="Q3" i="1" s="1"/>
  <c r="P20" i="1" a="1"/>
  <c r="P20" i="1" s="1"/>
  <c r="N25" i="1" a="1"/>
  <c r="N25" i="1" s="1"/>
  <c r="N20" i="1" a="1"/>
  <c r="N20" i="1" s="1"/>
  <c r="M36" i="1" a="1"/>
  <c r="M36" i="1" s="1"/>
  <c r="O36" i="1" s="1" a="1"/>
  <c r="O36" i="1" s="1"/>
  <c r="M9" i="1" a="1"/>
  <c r="M9" i="1" s="1"/>
  <c r="L5" i="1" a="1"/>
  <c r="L5" i="1" s="1"/>
  <c r="P5" i="1" s="1" a="1"/>
  <c r="P5" i="1" s="1"/>
  <c r="M25" i="1" a="1"/>
  <c r="M25" i="1" s="1"/>
  <c r="O25" i="1" s="1" a="1"/>
  <c r="O25" i="1" s="1"/>
  <c r="M5" i="1" a="1"/>
  <c r="M5" i="1" s="1"/>
  <c r="O5" i="1" s="1" a="1"/>
  <c r="O5" i="1" s="1"/>
  <c r="M34" i="1" a="1"/>
  <c r="M34" i="1" s="1"/>
  <c r="O34" i="1" s="1" a="1"/>
  <c r="O34" i="1" s="1"/>
  <c r="M38" i="1" a="1"/>
  <c r="M38" i="1" s="1"/>
  <c r="Q38" i="1" s="1" a="1"/>
  <c r="Q38" i="1" s="1"/>
  <c r="M28" i="1" a="1"/>
  <c r="M28" i="1" s="1"/>
  <c r="M8" i="1" a="1"/>
  <c r="M8" i="1" s="1"/>
  <c r="M27" i="1" a="1"/>
  <c r="M27" i="1" s="1"/>
  <c r="M7" i="1" a="1"/>
  <c r="M7" i="1" s="1"/>
  <c r="M2" i="1" a="1"/>
  <c r="M2" i="1" s="1"/>
  <c r="O2" i="1" s="1" a="1"/>
  <c r="O2" i="1" s="1"/>
  <c r="M21" i="1" a="1"/>
  <c r="M21" i="1" s="1"/>
  <c r="O21" i="1" s="1" a="1"/>
  <c r="O21" i="1" s="1"/>
  <c r="M39" i="1" a="1"/>
  <c r="M39" i="1" s="1"/>
  <c r="O39" i="1" s="1" a="1"/>
  <c r="O39" i="1" s="1"/>
  <c r="M19" i="1" a="1"/>
  <c r="M19" i="1" s="1"/>
  <c r="O19" i="1" s="1" a="1"/>
  <c r="O19" i="1" s="1"/>
  <c r="M18" i="1" a="1"/>
  <c r="M18" i="1" s="1"/>
  <c r="O18" i="1" s="1" a="1"/>
  <c r="O18" i="1" s="1"/>
  <c r="M37" i="1" a="1"/>
  <c r="M37" i="1" s="1"/>
  <c r="O37" i="1" s="1" a="1"/>
  <c r="O37" i="1" s="1"/>
  <c r="M17" i="1" a="1"/>
  <c r="M17" i="1" s="1"/>
  <c r="O17" i="1" s="1" a="1"/>
  <c r="O17" i="1" s="1"/>
  <c r="M16" i="1" a="1"/>
  <c r="M16" i="1" s="1"/>
  <c r="O16" i="1" s="1" a="1"/>
  <c r="O16" i="1" s="1"/>
  <c r="M13" i="1" a="1"/>
  <c r="M13" i="1" s="1"/>
  <c r="O13" i="1" s="1" a="1"/>
  <c r="O13" i="1" s="1"/>
  <c r="M40" i="1" a="1"/>
  <c r="M40" i="1" s="1"/>
  <c r="M20" i="1" a="1"/>
  <c r="M20" i="1" s="1"/>
  <c r="M32" i="1" a="1"/>
  <c r="M32" i="1" s="1"/>
  <c r="O32" i="1" s="1" a="1"/>
  <c r="O32" i="1" s="1"/>
  <c r="M11" i="1" a="1"/>
  <c r="M11" i="1" s="1"/>
  <c r="O11" i="1" s="1" a="1"/>
  <c r="O11" i="1" s="1"/>
  <c r="M15" i="1" a="1"/>
  <c r="M15" i="1" s="1"/>
  <c r="O15" i="1" s="1" a="1"/>
  <c r="O15" i="1" s="1"/>
  <c r="M35" i="1" a="1"/>
  <c r="M35" i="1" s="1"/>
  <c r="O35" i="1" s="1" a="1"/>
  <c r="O35" i="1" s="1"/>
  <c r="M14" i="1" a="1"/>
  <c r="M14" i="1" s="1"/>
  <c r="O14" i="1" s="1" a="1"/>
  <c r="O14" i="1" s="1"/>
  <c r="M12" i="1" a="1"/>
  <c r="M12" i="1" s="1"/>
  <c r="O12" i="1" s="1" a="1"/>
  <c r="O12" i="1" s="1"/>
  <c r="M26" i="1" a="1"/>
  <c r="M26" i="1" s="1"/>
  <c r="M6" i="1" a="1"/>
  <c r="M6" i="1" s="1"/>
  <c r="M29" i="1" a="1"/>
  <c r="M29" i="1" s="1"/>
  <c r="L40" i="1" a="1"/>
  <c r="L40" i="1" s="1"/>
  <c r="P40" i="1" s="1" a="1"/>
  <c r="P40" i="1" s="1"/>
  <c r="M24" i="1" a="1"/>
  <c r="M24" i="1" s="1"/>
  <c r="O24" i="1" s="1" a="1"/>
  <c r="O24" i="1" s="1"/>
  <c r="M4" i="1" a="1"/>
  <c r="M4" i="1" s="1"/>
  <c r="O4" i="1" s="1" a="1"/>
  <c r="O4" i="1" s="1"/>
  <c r="L15" i="1" a="1"/>
  <c r="L15" i="1" s="1"/>
  <c r="P15" i="1" s="1" a="1"/>
  <c r="P15" i="1" s="1"/>
  <c r="L14" i="1" a="1"/>
  <c r="L14" i="1" s="1"/>
  <c r="P14" i="1" s="1" a="1"/>
  <c r="P14" i="1" s="1"/>
  <c r="M22" i="1" a="1"/>
  <c r="M22" i="1" s="1"/>
  <c r="O22" i="1" s="1" a="1"/>
  <c r="O22" i="1" s="1"/>
  <c r="M33" i="1" a="1"/>
  <c r="M33" i="1" s="1"/>
  <c r="O33" i="1" s="1" a="1"/>
  <c r="O33" i="1" s="1"/>
  <c r="M31" i="1" a="1"/>
  <c r="M31" i="1" s="1"/>
  <c r="O31" i="1" s="1" a="1"/>
  <c r="O31" i="1" s="1"/>
  <c r="M30" i="1" a="1"/>
  <c r="M30" i="1" s="1"/>
  <c r="O30" i="1" s="1" a="1"/>
  <c r="O30" i="1" s="1"/>
  <c r="M10" i="1" a="1"/>
  <c r="M10" i="1" s="1"/>
  <c r="O10" i="1" s="1" a="1"/>
  <c r="O10" i="1" s="1"/>
  <c r="L6" i="1" a="1"/>
  <c r="L6" i="1" s="1"/>
  <c r="L35" i="1" a="1"/>
  <c r="L35" i="1" s="1"/>
  <c r="P35" i="1" s="1" a="1"/>
  <c r="P35" i="1" s="1"/>
  <c r="L34" i="1" a="1"/>
  <c r="L34" i="1" s="1"/>
  <c r="P34" i="1" s="1" a="1"/>
  <c r="P34" i="1" s="1"/>
  <c r="L8" i="1" a="1"/>
  <c r="L8" i="1" s="1"/>
  <c r="N8" i="1" s="1" a="1"/>
  <c r="N8" i="1" s="1"/>
  <c r="L36" i="1" a="1"/>
  <c r="L36" i="1" s="1"/>
  <c r="N36" i="1" s="1" a="1"/>
  <c r="N36" i="1" s="1"/>
  <c r="L16" i="1" a="1"/>
  <c r="L16" i="1" s="1"/>
  <c r="N16" i="1" s="1" a="1"/>
  <c r="N16" i="1" s="1"/>
  <c r="L29" i="1" a="1"/>
  <c r="L29" i="1" s="1"/>
  <c r="N29" i="1" s="1" a="1"/>
  <c r="N29" i="1" s="1"/>
  <c r="L26" i="1" a="1"/>
  <c r="L26" i="1" s="1"/>
  <c r="L24" i="1" a="1"/>
  <c r="L24" i="1" s="1"/>
  <c r="L4" i="1" a="1"/>
  <c r="L4" i="1" s="1"/>
  <c r="L31" i="1" a="1"/>
  <c r="L31" i="1" s="1"/>
  <c r="N31" i="1" s="1" a="1"/>
  <c r="N31" i="1" s="1"/>
  <c r="L11" i="1" a="1"/>
  <c r="L11" i="1" s="1"/>
  <c r="N11" i="1" s="1" a="1"/>
  <c r="N11" i="1" s="1"/>
  <c r="L9" i="1" a="1"/>
  <c r="L9" i="1" s="1"/>
  <c r="N9" i="1" s="1" a="1"/>
  <c r="N9" i="1" s="1"/>
  <c r="L32" i="1" a="1"/>
  <c r="L32" i="1" s="1"/>
  <c r="N32" i="1" s="1" a="1"/>
  <c r="N32" i="1" s="1"/>
  <c r="L12" i="1" a="1"/>
  <c r="L12" i="1" s="1"/>
  <c r="N12" i="1" s="1" a="1"/>
  <c r="N12" i="1" s="1"/>
  <c r="L22" i="1" a="1"/>
  <c r="L22" i="1" s="1"/>
  <c r="N22" i="1" s="1" a="1"/>
  <c r="N22" i="1" s="1"/>
  <c r="L2" i="1" a="1"/>
  <c r="L2" i="1" s="1"/>
  <c r="N2" i="1" s="1" a="1"/>
  <c r="N2" i="1" s="1"/>
  <c r="L39" i="1" a="1"/>
  <c r="L39" i="1" s="1"/>
  <c r="P39" i="1" s="1" a="1"/>
  <c r="P39" i="1" s="1"/>
  <c r="L19" i="1" a="1"/>
  <c r="L19" i="1" s="1"/>
  <c r="N19" i="1" s="1" a="1"/>
  <c r="N19" i="1" s="1"/>
  <c r="L10" i="1" a="1"/>
  <c r="L10" i="1" s="1"/>
  <c r="N10" i="1" s="1" a="1"/>
  <c r="N10" i="1" s="1"/>
  <c r="L3" i="1" a="1"/>
  <c r="L3" i="1" s="1"/>
  <c r="L38" i="1" a="1"/>
  <c r="L38" i="1" s="1"/>
  <c r="N38" i="1" s="1" a="1"/>
  <c r="N38" i="1" s="1"/>
  <c r="L18" i="1" a="1"/>
  <c r="L18" i="1" s="1"/>
  <c r="N18" i="1" s="1" a="1"/>
  <c r="N18" i="1" s="1"/>
  <c r="L37" i="1" a="1"/>
  <c r="L37" i="1" s="1"/>
  <c r="L17" i="1" a="1"/>
  <c r="L17" i="1" s="1"/>
  <c r="L23" i="1" a="1"/>
  <c r="L23" i="1" s="1"/>
  <c r="L21" i="1" a="1"/>
  <c r="L21" i="1" s="1"/>
  <c r="P21" i="1" s="1" a="1"/>
  <c r="P21" i="1" s="1"/>
  <c r="L33" i="1" a="1"/>
  <c r="L33" i="1" s="1"/>
  <c r="N33" i="1" s="1" a="1"/>
  <c r="N33" i="1" s="1"/>
  <c r="L13" i="1" a="1"/>
  <c r="L13" i="1" s="1"/>
  <c r="N13" i="1" s="1" a="1"/>
  <c r="N13" i="1" s="1"/>
  <c r="L30" i="1" a="1"/>
  <c r="L30" i="1" s="1"/>
  <c r="N30" i="1" s="1" a="1"/>
  <c r="N30" i="1" s="1"/>
  <c r="L28" i="1" a="1"/>
  <c r="L28" i="1" s="1"/>
  <c r="N28" i="1" s="1" a="1"/>
  <c r="N28" i="1" s="1"/>
  <c r="L7" i="1" a="1"/>
  <c r="L7" i="1" s="1"/>
  <c r="L27" i="1" a="1"/>
  <c r="L27" i="1" s="1"/>
  <c r="Q16" i="1" l="1" a="1"/>
  <c r="Q16" i="1" s="1"/>
  <c r="O3" i="1" a="1"/>
  <c r="O3" i="1" s="1"/>
  <c r="Q36" i="1" a="1"/>
  <c r="Q36" i="1" s="1"/>
  <c r="O38" i="1" a="1"/>
  <c r="O38" i="1" s="1"/>
  <c r="O23" i="1" a="1"/>
  <c r="O23" i="1" s="1"/>
  <c r="P28" i="1" a="1"/>
  <c r="P28" i="1" s="1"/>
  <c r="P29" i="1" a="1"/>
  <c r="P29" i="1" s="1"/>
  <c r="Q31" i="1" a="1"/>
  <c r="Q31" i="1" s="1"/>
  <c r="Q35" i="1" a="1"/>
  <c r="Q35" i="1" s="1"/>
  <c r="Q30" i="1" a="1"/>
  <c r="Q30" i="1" s="1"/>
  <c r="Q12" i="1" a="1"/>
  <c r="Q12" i="1" s="1"/>
  <c r="Q14" i="1" a="1"/>
  <c r="Q14" i="1" s="1"/>
  <c r="Q34" i="1" a="1"/>
  <c r="Q34" i="1" s="1"/>
  <c r="Q22" i="1" a="1"/>
  <c r="Q22" i="1" s="1"/>
  <c r="Q24" i="1" a="1"/>
  <c r="Q24" i="1" s="1"/>
  <c r="Q11" i="1" a="1"/>
  <c r="Q11" i="1" s="1"/>
  <c r="O9" i="1" a="1"/>
  <c r="O9" i="1" s="1"/>
  <c r="Q9" i="1" a="1"/>
  <c r="Q9" i="1" s="1"/>
  <c r="O40" i="1" a="1"/>
  <c r="O40" i="1" s="1"/>
  <c r="Q40" i="1" a="1"/>
  <c r="Q40" i="1" s="1"/>
  <c r="Q32" i="1" a="1"/>
  <c r="Q32" i="1" s="1"/>
  <c r="O20" i="1" a="1"/>
  <c r="O20" i="1" s="1"/>
  <c r="Q20" i="1" a="1"/>
  <c r="Q20" i="1" s="1"/>
  <c r="Q13" i="1" a="1"/>
  <c r="Q13" i="1" s="1"/>
  <c r="Q33" i="1" a="1"/>
  <c r="Q33" i="1" s="1"/>
  <c r="Q15" i="1" a="1"/>
  <c r="Q15" i="1" s="1"/>
  <c r="P8" i="1" a="1"/>
  <c r="P8" i="1" s="1"/>
  <c r="P10" i="1" a="1"/>
  <c r="P10" i="1" s="1"/>
  <c r="Q17" i="1" a="1"/>
  <c r="Q17" i="1" s="1"/>
  <c r="O29" i="1" a="1"/>
  <c r="O29" i="1" s="1"/>
  <c r="Q29" i="1" a="1"/>
  <c r="Q29" i="1" s="1"/>
  <c r="O7" i="1" a="1"/>
  <c r="O7" i="1" s="1"/>
  <c r="Q7" i="1" a="1"/>
  <c r="Q7" i="1" s="1"/>
  <c r="P32" i="1" a="1"/>
  <c r="P32" i="1" s="1"/>
  <c r="Q37" i="1" a="1"/>
  <c r="Q37" i="1" s="1"/>
  <c r="O6" i="1" a="1"/>
  <c r="O6" i="1" s="1"/>
  <c r="Q6" i="1" a="1"/>
  <c r="Q6" i="1" s="1"/>
  <c r="O27" i="1" a="1"/>
  <c r="O27" i="1" s="1"/>
  <c r="Q27" i="1" a="1"/>
  <c r="Q27" i="1" s="1"/>
  <c r="Q25" i="1" a="1"/>
  <c r="Q25" i="1" s="1"/>
  <c r="Q18" i="1" a="1"/>
  <c r="Q18" i="1" s="1"/>
  <c r="O26" i="1" a="1"/>
  <c r="O26" i="1" s="1"/>
  <c r="Q26" i="1" a="1"/>
  <c r="Q26" i="1" s="1"/>
  <c r="O8" i="1" a="1"/>
  <c r="O8" i="1" s="1"/>
  <c r="Q8" i="1" a="1"/>
  <c r="Q8" i="1" s="1"/>
  <c r="O28" i="1" a="1"/>
  <c r="O28" i="1" s="1"/>
  <c r="Q28" i="1" a="1"/>
  <c r="Q28" i="1" s="1"/>
  <c r="Q19" i="1" a="1"/>
  <c r="Q19" i="1" s="1"/>
  <c r="Q39" i="1" a="1"/>
  <c r="Q39" i="1" s="1"/>
  <c r="Q10" i="1" a="1"/>
  <c r="Q10" i="1" s="1"/>
  <c r="Q21" i="1" a="1"/>
  <c r="Q21" i="1" s="1"/>
  <c r="Q4" i="1" a="1"/>
  <c r="Q4" i="1" s="1"/>
  <c r="B4" i="9" s="1"/>
  <c r="Q5" i="1" a="1"/>
  <c r="Q5" i="1" s="1"/>
  <c r="P11" i="1" a="1"/>
  <c r="P11" i="1" s="1"/>
  <c r="P30" i="1" a="1"/>
  <c r="P30" i="1" s="1"/>
  <c r="P38" i="1" a="1"/>
  <c r="P38" i="1" s="1"/>
  <c r="Q2" i="1" a="1"/>
  <c r="Q2" i="1" s="1"/>
  <c r="N24" i="1" a="1"/>
  <c r="N24" i="1" s="1"/>
  <c r="P24" i="1" a="1"/>
  <c r="P24" i="1" s="1"/>
  <c r="P16" i="1" a="1"/>
  <c r="P16" i="1" s="1"/>
  <c r="N17" i="1" a="1"/>
  <c r="N17" i="1" s="1"/>
  <c r="P17" i="1" a="1"/>
  <c r="P17" i="1" s="1"/>
  <c r="P2" i="1" a="1"/>
  <c r="P2" i="1" s="1"/>
  <c r="N26" i="1" a="1"/>
  <c r="N26" i="1" s="1"/>
  <c r="P26" i="1" a="1"/>
  <c r="P26" i="1" s="1"/>
  <c r="N23" i="1" a="1"/>
  <c r="N23" i="1" s="1"/>
  <c r="P23" i="1" a="1"/>
  <c r="P23" i="1" s="1"/>
  <c r="N37" i="1" a="1"/>
  <c r="N37" i="1" s="1"/>
  <c r="P37" i="1" a="1"/>
  <c r="P37" i="1" s="1"/>
  <c r="P19" i="1" a="1"/>
  <c r="P19" i="1" s="1"/>
  <c r="P13" i="1" a="1"/>
  <c r="P13" i="1" s="1"/>
  <c r="N39" i="1" a="1"/>
  <c r="N39" i="1" s="1"/>
  <c r="N3" i="1" a="1"/>
  <c r="N3" i="1" s="1"/>
  <c r="P3" i="1" a="1"/>
  <c r="P3" i="1" s="1"/>
  <c r="N6" i="1" a="1"/>
  <c r="N6" i="1" s="1"/>
  <c r="P6" i="1" a="1"/>
  <c r="P6" i="1" s="1"/>
  <c r="P9" i="1" a="1"/>
  <c r="P9" i="1" s="1"/>
  <c r="P33" i="1" a="1"/>
  <c r="P33" i="1" s="1"/>
  <c r="N27" i="1" a="1"/>
  <c r="N27" i="1" s="1"/>
  <c r="P27" i="1" a="1"/>
  <c r="P27" i="1" s="1"/>
  <c r="P22" i="1" a="1"/>
  <c r="P22" i="1" s="1"/>
  <c r="P36" i="1" a="1"/>
  <c r="P36" i="1" s="1"/>
  <c r="N7" i="1" a="1"/>
  <c r="N7" i="1" s="1"/>
  <c r="P7" i="1" a="1"/>
  <c r="P7" i="1" s="1"/>
  <c r="P18" i="1" a="1"/>
  <c r="P18" i="1" s="1"/>
  <c r="P31" i="1" a="1"/>
  <c r="P31" i="1" s="1"/>
  <c r="N4" i="1" a="1"/>
  <c r="N4" i="1" s="1"/>
  <c r="P4" i="1" a="1"/>
  <c r="P4" i="1" s="1"/>
  <c r="P12" i="1" a="1"/>
  <c r="P12" i="1" s="1"/>
  <c r="N35" i="1" a="1"/>
  <c r="N35" i="1" s="1"/>
  <c r="N14" i="1" a="1"/>
  <c r="N14" i="1" s="1"/>
  <c r="N15" i="1" a="1"/>
  <c r="N15" i="1" s="1"/>
  <c r="N40" i="1" a="1"/>
  <c r="N40" i="1" s="1"/>
  <c r="N34" i="1" a="1"/>
  <c r="N34" i="1" s="1"/>
  <c r="N5" i="1" a="1"/>
  <c r="N5" i="1" s="1"/>
  <c r="N21" i="1" a="1"/>
  <c r="N21" i="1" s="1"/>
  <c r="B8" i="9" l="1"/>
  <c r="B5" i="9"/>
  <c r="D47" i="1"/>
  <c r="D48" i="1" s="1"/>
  <c r="O43" i="1"/>
  <c r="Q43" i="1"/>
  <c r="D43" i="1"/>
  <c r="B6" i="9" l="1"/>
  <c r="B7" i="9" l="1"/>
  <c r="D7" i="9" s="1"/>
  <c r="D6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<sst xmlns="http://schemas.openxmlformats.org/spreadsheetml/2006/main" count="331" uniqueCount="182">
  <si>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</si>
  <si>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</si>
  <si>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</si>
  <si>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</si>
  <si>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</si>
  <si>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</si>
  <si>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</si>
  <si>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</si>
  <si>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</si>
  <si>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</si>
  <si>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</si>
  <si>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</si>
  <si>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</si>
  <si>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</si>
  <si>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</si>
  <si>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</si>
  <si>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</si>
  <si>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</si>
  <si>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</si>
  <si>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</si>
  <si>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</si>
  <si>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</si>
  <si>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</si>
  <si>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</si>
  <si>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</si>
  <si>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</si>
  <si>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</si>
  <si>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</si>
  <si>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</si>
  <si>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</si>
  <si>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</si>
  <si>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</si>
  <si>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</si>
  <si>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</si>
  <si>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</si>
  <si>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</si>
  <si>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</si>
  <si>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</si>
  <si>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</si>
  <si>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</si>
  <si>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</si>
  <si>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</si>
  <si>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</si>
  <si>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</si>
  <si>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</si>
  <si>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</si>
  <si>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</si>
  <si>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</si>
  <si>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</si>
  <si>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</si>
  <si>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</si>
  <si>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</si>
  <si>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</si>
  <si>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</si>
  <si>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</si>
  <si>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</si>
  <si>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</si>
  <si>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</si>
  <si>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</si>
  <si>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</si>
  <si>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</si>
  <si>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</si>
  <si>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</si>
  <si>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</si>
  <si>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</si>
  <si>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</si>
  <si>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</si>
  <si>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</si>
  <si>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</si>
  <si>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</si>
  <si>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</si>
  <si>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</si>
  <si>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</si>
  <si>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</si>
  <si>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</si>
  <si>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</si>
  <si>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</si>
  <si>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</si>
  <si>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</si>
  <si>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</si>
  <si>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</si>
  <si>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</si>
  <si>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</si>
  <si>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</si>
  <si>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</si>
  <si>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</si>
  <si>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</si>
  <si>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</si>
  <si>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</si>
  <si>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</si>
  <si>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</si>
  <si>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</si>
  <si>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</si>
  <si>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</si>
  <si>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</si>
  <si>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</si>
  <si>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</si>
  <si>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</si>
  <si>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</si>
  <si>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</si>
  <si>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</si>
  <si>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</si>
  <si>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</si>
  <si>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</si>
  <si>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</si>
  <si>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</si>
  <si>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</si>
  <si>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</si>
  <si>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</si>
  <si>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</si>
  <si>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</si>
  <si>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</si>
  <si>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</si>
  <si>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</si>
  <si>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Not Available</t>
  </si>
  <si>
    <t>Hombale Films</t>
  </si>
  <si>
    <t>Government of West Bengal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</si>
  <si>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</si>
  <si>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</si>
  <si>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</si>
  <si>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</si>
  <si>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</si>
  <si>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</si>
  <si>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</si>
  <si>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</si>
  <si>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</si>
  <si>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</si>
  <si>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</si>
  <si>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</si>
  <si>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</si>
  <si>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</si>
  <si>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</si>
  <si>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</si>
  <si>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</si>
  <si>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</si>
  <si>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</si>
  <si>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</si>
  <si>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</si>
  <si>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</si>
  <si>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</si>
  <si>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</si>
  <si>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</si>
  <si>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</si>
  <si>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</si>
  <si>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</si>
  <si>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</si>
  <si>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</si>
  <si>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</si>
  <si>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</si>
  <si>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</si>
  <si>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</si>
  <si>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</si>
  <si>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</si>
  <si>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</si>
  <si>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</si>
  <si>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</si>
  <si>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title</t>
  </si>
  <si>
    <t>budget INR</t>
  </si>
  <si>
    <t>budget-mil</t>
  </si>
  <si>
    <t>revenue-mil</t>
  </si>
  <si>
    <t>revenue INR</t>
  </si>
  <si>
    <t>Total Budget (INR millions)</t>
  </si>
  <si>
    <t>budget USD</t>
  </si>
  <si>
    <t>revenue USD</t>
  </si>
  <si>
    <t>Total movies</t>
  </si>
  <si>
    <t>Total bollywood movies</t>
  </si>
  <si>
    <t xml:space="preserve">% bollywood movies </t>
  </si>
  <si>
    <t>Total INR revenue</t>
  </si>
  <si>
    <t>Total revenue USD</t>
  </si>
  <si>
    <t>Total bollywood movie revenue</t>
  </si>
  <si>
    <t>Avg bollywood movie revenue</t>
  </si>
  <si>
    <t>Key Metrics</t>
  </si>
  <si>
    <t>Marvel Consolidated P &amp; L</t>
  </si>
  <si>
    <t>Revenue</t>
  </si>
  <si>
    <t>Budget</t>
  </si>
  <si>
    <t>Profit/Loss</t>
  </si>
  <si>
    <t>Profit / Loss %</t>
  </si>
  <si>
    <t>Market Share %</t>
  </si>
  <si>
    <t>Target</t>
  </si>
  <si>
    <t>Actuals - Target</t>
  </si>
  <si>
    <t>Actuals - Target %</t>
  </si>
  <si>
    <t xml:space="preserve">Note: Values may seem different from what you saw in the video. This is the updated file.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</si>
</sst>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 [$₹-4009]\ * #,##0_ ;_ [$₹-4009]\ * \-#,##0_ ;_ [$₹-4009]\ * &quot;-&quot;??_ ;_ @_ "/>
    <numFmt numFmtId="165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44" fontId="0" fillId="0" borderId="0" xfId="2" applyFont="1"/>
    <xf numFmtId="44" fontId="0" fillId="0" borderId="0" xfId="0" applyNumberFormat="1"/>
    <xf numFmtId="9" fontId="0" fillId="0" borderId="0" xfId="0" applyNumberFormat="1"/>
    <xf numFmtId="0" fontId="3" fillId="0" borderId="0" xfId="0" applyFont="1"/>
  </cellXfs>
  <cellStyles count="3">
    <cellStyle name="Currency" xfId="2" builtinId="4"/>
    <cellStyle name="Normal" xfId="0" builtinId="0"/>
    <cellStyle name="Percent" xfId="1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Q40" totalsRowShown="0" headerRowDxfId="17">
  <autoFilter ref="A1:Q40" xr:uid="{6A7FE39D-5614-4A7F-89B7-C167ABC0A251}"/>
  <tableColumns count="17">
    <tableColumn id="1" xr3:uid="{5E453F0D-B27C-433C-BF11-BA3FE1A6822E}" name="movie_id"/>
    <tableColumn id="8" xr3:uid="{AEC53FD7-BF8A-4895-B8F6-DCBA25100657}" name="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14" xr3:uid="{DD2A0151-E545-4BFF-93A3-124AFC8C3768}" name="budget" dataDxfId="16">
      <calculatedColumnFormula array="1">_xlfn.XLOOKUP(Movies[[#This Row],[movie_id]:[movie_id]],Financials[[#All],[movie_id]:[movie_id]],Financials[[#All],[budget]],"Not Available",0)</calculatedColumnFormula>
    </tableColumn>
    <tableColumn id="19" xr3:uid="{DB0D2613-55BC-4836-9E67-0E5D587EA27B}" name="revenue">
      <calculatedColumnFormula array="1">_xlfn.XLOOKUP(Movies[[#This Row],[movie_id]:[movie_id]],Financials[[#All],[movie_id]:[movie_id]],Financials[[#All],[revenue]],"Not Available",0)</calculatedColumnFormula>
    </tableColumn>
    <tableColumn id="15" xr3:uid="{4FC460F8-5501-4B3D-B612-AA6EA53F088D}" name="unit" dataDxfId="15">
      <calculatedColumnFormula array="1">_xlfn.XLOOKUP(Movies[[#This Row],[movie_id]:[movie_id]],Financials[[#All],[movie_id]:[movie_id]],Financials[[#All],[unit]],"Not Available",0)</calculatedColumnFormula>
    </tableColumn>
    <tableColumn id="16" xr3:uid="{71AF9D00-263F-48BA-A598-7B2DDE3DCFC0}" name="currency" dataDxfId="14">
      <calculatedColumnFormula array="1">_xlfn.XLOOKUP(Movies[[#This Row],[movie_id]:[movie_id]],Financials[[#All],[movie_id]:[movie_id]],Financials[[#All],[currency]],"Not Available",0)</calculatedColumnFormula>
    </tableColumn>
    <tableColumn id="20" xr3:uid="{4B64FAFE-42F6-4EC8-99B7-A009AD1A7185}" name="budget-mil" dataDxfId="13">
      <calculatedColumnFormula array="1">IF(Movies[[#This Row],[unit]:[unit]]="Billions",Movies[[#This Row],[budget]]*1000,Movies[[#This Row],[budget]])</calculatedColumnFormula>
    </tableColumn>
    <tableColumn id="21" xr3:uid="{3E0B27FD-DF7E-4BD8-B0E9-C37F2191AEFB}" name="revenue-mil" dataDxfId="12">
      <calculatedColumnFormula array="1">IF(Movies[[#This Row],[unit]:[unit]]="Billions",Movies[[#This Row],[revenue]]*1000,Movies[[#This Row],[revenue]])</calculatedColumnFormula>
    </tableColumn>
    <tableColumn id="22" xr3:uid="{D57F75EA-9D78-438F-920D-A25DE5BE1F5C}" name="budget INR" dataDxfId="11">
      <calculatedColumnFormula array="1">IF(Movies[[#This Row],[currency]:[currency]]="USD",Movies[[#This Row],[budget-mil]]*80,Movies[[#This Row],[budget-mil]])</calculatedColumnFormula>
    </tableColumn>
    <tableColumn id="23" xr3:uid="{53212545-2E62-4511-8125-674047750A63}" name="revenue INR" dataDxfId="10">
      <calculatedColumnFormula array="1">IF(Movies[[#This Row],[currency]:[currency]]="USD",Movies[[#This Row],[revenue-mil]]*80,Movies[[#This Row],[revenue-mil]])</calculatedColumnFormula>
    </tableColumn>
    <tableColumn id="24" xr3:uid="{AD6EBB63-E1E5-4C4A-B824-9F571C35F870}" name="budget USD" dataDxfId="9">
      <calculatedColumnFormula array="1">IF(Movies[[#This Row],[currency]:[currency]]="INR",Movies[[#This Row],[budget-mil]]/80,Movies[[#This Row],[budget-mil]])</calculatedColumnFormula>
    </tableColumn>
    <tableColumn id="25" xr3:uid="{9097AD2C-C71A-4204-BAB8-1EFD5DA4CA09}" name="revenue USD" dataDxfId="8">
      <calculatedColumnFormula array="1">IF(Movies[[#This Row],[currency]:[currency]]="INR",Movies[[#This Row],[revenue-mil]]/80,Movies[[#This Row],[revenue-mil]])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7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6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5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4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opLeftCell="A16" zoomScale="103" zoomScaleNormal="175" workbookViewId="0">
      <selection activeCell="R34" sqref="R34"/>
    </sheetView>
  </sheetViews>
  <sheetFormatPr defaultRowHeight="14.4" x14ac:dyDescent="0.3"/>
  <cols>
    <col min="1" max="1" width="9" customWidth="1"/>
    <col min="2" max="2" width="21.5546875" customWidth="1"/>
    <col min="3" max="3" width="32.109375" customWidth="1"/>
    <col min="4" max="4" width="27.33203125" customWidth="1"/>
    <col min="5" max="5" width="6.109375" customWidth="1"/>
    <col min="6" max="6" width="23.5546875" customWidth="1"/>
    <col min="7" max="7" width="19.6640625" customWidth="1"/>
    <col min="8" max="8" width="9.6640625" customWidth="1"/>
    <col min="9" max="9" width="9.5546875" customWidth="1"/>
    <col min="10" max="10" width="7.5546875" customWidth="1"/>
    <col min="11" max="11" width="9.5546875" customWidth="1"/>
    <col min="12" max="12" width="14.5546875" customWidth="1"/>
    <col min="13" max="13" width="22.88671875" customWidth="1"/>
    <col min="14" max="14" width="14.5546875" customWidth="1"/>
    <col min="15" max="15" width="16.44140625" customWidth="1"/>
    <col min="16" max="16" width="17.33203125" customWidth="1"/>
    <col min="17" max="17" width="17.6640625" customWidth="1"/>
  </cols>
  <sheetData>
    <row r="1" spans="1:17" x14ac:dyDescent="0.3">
      <c r="A1" s="1" t="s">
        <v>0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158</v>
      </c>
      <c r="M1" s="1" t="s">
        <v>159</v>
      </c>
      <c r="N1" s="1" t="s">
        <v>157</v>
      </c>
      <c r="O1" s="1" t="s">
        <v>160</v>
      </c>
      <c r="P1" s="1" t="s">
        <v>162</v>
      </c>
      <c r="Q1" s="1" t="s">
        <v>163</v>
      </c>
    </row>
    <row r="2" spans="1:17" x14ac:dyDescent="0.3">
      <c r="A2">
        <v>101</v>
      </c>
      <c r="B2" t="s">
        <v>117</v>
      </c>
      <c r="C2" t="s">
        <v>6</v>
      </c>
      <c r="D2">
        <v>2022</v>
      </c>
      <c r="E2">
        <v>8.4</v>
      </c>
      <c r="F2" t="s">
        <v>115</v>
      </c>
      <c r="G2">
        <v>3</v>
      </c>
      <c r="H2" cm="1">
        <f t="array" ref="H2">_xlfn.XLOOKUP(Movies[[#This Row],[movie_id]:[movie_id]],Financials[[#All],[movie_id]:[movie_id]],Financials[[#All],[budget]],"Not Available",0)</f>
        <v>1</v>
      </c>
      <c r="I2" cm="1">
        <f t="array" ref="I2">_xlfn.XLOOKUP(Movies[[#This Row],[movie_id]:[movie_id]],Financials[[#All],[movie_id]:[movie_id]],Financials[[#All],[revenue]],"Not Available",0)</f>
        <v>12.5</v>
      </c>
      <c r="J2" t="str" cm="1">
        <f t="array" ref="J2">_xlfn.XLOOKUP(Movies[[#This Row],[movie_id]:[movie_id]],Financials[[#All],[movie_id]:[movie_id]],Financials[[#All],[unit]],"Not Available",0)</f>
        <v>Billions</v>
      </c>
      <c r="K2" t="str" cm="1">
        <f t="array" ref="K2">_xlfn.XLOOKUP(Movies[[#This Row],[movie_id]:[movie_id]],Financials[[#All],[movie_id]:[movie_id]],Financials[[#All],[currency]],"Not Available",0)</f>
        <v>INR</v>
      </c>
      <c r="L2" cm="1">
        <f t="array" ref="L2">IF(Movies[[#This Row],[unit]:[unit]]="Billions",Movies[[#This Row],[budget]]*1000,Movies[[#This Row],[budget]])</f>
        <v>1000</v>
      </c>
      <c r="M2" cm="1">
        <f t="array" ref="M2">IF(Movies[[#This Row],[unit]:[unit]]="Billions",Movies[[#This Row],[revenue]]*1000,Movies[[#This Row],[revenue]])</f>
        <v>12500</v>
      </c>
      <c r="N2" cm="1">
        <f t="array" ref="N2">IF(Movies[[#This Row],[currency]:[currency]]="USD",Movies[[#This Row],[budget-mil]]*80,Movies[[#This Row],[budget-mil]])</f>
        <v>1000</v>
      </c>
      <c r="O2" cm="1">
        <f t="array" ref="O2">IF(Movies[[#This Row],[currency]:[currency]]="USD",Movies[[#This Row],[revenue-mil]]*80,Movies[[#This Row],[revenue-mil]])</f>
        <v>12500</v>
      </c>
      <c r="P2" cm="1">
        <f t="array" ref="P2">IF(Movies[[#This Row],[currency]:[currency]]="INR",Movies[[#This Row],[budget-mil]]/80,Movies[[#This Row],[budget-mil]])</f>
        <v>12.5</v>
      </c>
      <c r="Q2" cm="1">
        <f t="array" ref="Q2">IF(Movies[[#This Row],[currency]:[currency]]="INR",Movies[[#This Row],[revenue-mil]]/80,Movies[[#This Row],[revenue-mil]])</f>
        <v>156.25</v>
      </c>
    </row>
    <row r="3" spans="1:17" x14ac:dyDescent="0.3">
      <c r="A3">
        <v>102</v>
      </c>
      <c r="B3" t="s">
        <v>118</v>
      </c>
      <c r="C3" t="s">
        <v>7</v>
      </c>
      <c r="D3">
        <v>2022</v>
      </c>
      <c r="E3">
        <v>7</v>
      </c>
      <c r="F3" t="s">
        <v>8</v>
      </c>
      <c r="G3">
        <v>5</v>
      </c>
      <c r="H3" cm="1">
        <f t="array" ref="H3">_xlfn.XLOOKUP(Movies[[#This Row],[movie_id]:[movie_id]],Financials[[#All],[movie_id]:[movie_id]],Financials[[#All],[budget]],"Not Available",0)</f>
        <v>200</v>
      </c>
      <c r="I3" cm="1">
        <f t="array" ref="I3">_xlfn.XLOOKUP(Movies[[#This Row],[movie_id]:[movie_id]],Financials[[#All],[movie_id]:[movie_id]],Financials[[#All],[revenue]],"Not Available",0)</f>
        <v>954.8</v>
      </c>
      <c r="J3" t="str" cm="1">
        <f t="array" ref="J3">_xlfn.XLOOKUP(Movies[[#This Row],[movie_id]:[movie_id]],Financials[[#All],[movie_id]:[movie_id]],Financials[[#All],[unit]],"Not Available",0)</f>
        <v>Millions</v>
      </c>
      <c r="K3" t="str" cm="1">
        <f t="array" ref="K3">_xlfn.XLOOKUP(Movies[[#This Row],[movie_id]:[movie_id]],Financials[[#All],[movie_id]:[movie_id]],Financials[[#All],[currency]],"Not Available",0)</f>
        <v>USD</v>
      </c>
      <c r="L3" cm="1">
        <f t="array" ref="L3">IF(Movies[[#This Row],[unit]:[unit]]="Billions",Movies[[#This Row],[budget]]*1000,Movies[[#This Row],[budget]])</f>
        <v>200</v>
      </c>
      <c r="M3" cm="1">
        <f t="array" ref="M3">IF(Movies[[#This Row],[unit]:[unit]]="Billions",Movies[[#This Row],[revenue]]*1000,Movies[[#This Row],[revenue]])</f>
        <v>954.8</v>
      </c>
      <c r="N3" cm="1">
        <f t="array" ref="N3">IF(Movies[[#This Row],[currency]:[currency]]="USD",Movies[[#This Row],[budget-mil]]*80,Movies[[#This Row],[budget-mil]])</f>
        <v>16000</v>
      </c>
      <c r="O3" cm="1">
        <f t="array" ref="O3">IF(Movies[[#This Row],[currency]:[currency]]="USD",Movies[[#This Row],[revenue-mil]]*80,Movies[[#This Row],[revenue-mil]])</f>
        <v>76384</v>
      </c>
      <c r="P3" cm="1">
        <f t="array" ref="P3">IF(Movies[[#This Row],[currency]:[currency]]="INR",Movies[[#This Row],[budget-mil]]/80,Movies[[#This Row],[budget-mil]])</f>
        <v>200</v>
      </c>
      <c r="Q3" cm="1">
        <f t="array" ref="Q3">IF(Movies[[#This Row],[currency]:[currency]]="INR",Movies[[#This Row],[revenue-mil]]/80,Movies[[#This Row],[revenue-mil]])</f>
        <v>954.8</v>
      </c>
    </row>
    <row r="4" spans="1:17" x14ac:dyDescent="0.3">
      <c r="A4">
        <v>103</v>
      </c>
      <c r="B4" t="s">
        <v>119</v>
      </c>
      <c r="C4" t="s">
        <v>7</v>
      </c>
      <c r="D4">
        <v>2013</v>
      </c>
      <c r="E4">
        <v>6.8</v>
      </c>
      <c r="F4" t="s">
        <v>8</v>
      </c>
      <c r="G4">
        <v>5</v>
      </c>
      <c r="H4" cm="1">
        <f t="array" ref="H4">_xlfn.XLOOKUP(Movies[[#This Row],[movie_id]:[movie_id]],Financials[[#All],[movie_id]:[movie_id]],Financials[[#All],[budget]],"Not Available",0)</f>
        <v>165</v>
      </c>
      <c r="I4" cm="1">
        <f t="array" ref="I4">_xlfn.XLOOKUP(Movies[[#This Row],[movie_id]:[movie_id]],Financials[[#All],[movie_id]:[movie_id]],Financials[[#All],[revenue]],"Not Available",0)</f>
        <v>644.79999999999995</v>
      </c>
      <c r="J4" t="str" cm="1">
        <f t="array" ref="J4">_xlfn.XLOOKUP(Movies[[#This Row],[movie_id]:[movie_id]],Financials[[#All],[movie_id]:[movie_id]],Financials[[#All],[unit]],"Not Available",0)</f>
        <v>Millions</v>
      </c>
      <c r="K4" t="str" cm="1">
        <f t="array" ref="K4">_xlfn.XLOOKUP(Movies[[#This Row],[movie_id]:[movie_id]],Financials[[#All],[movie_id]:[movie_id]],Financials[[#All],[currency]],"Not Available",0)</f>
        <v>USD</v>
      </c>
      <c r="L4" cm="1">
        <f t="array" ref="L4">IF(Movies[[#This Row],[unit]:[unit]]="Billions",Movies[[#This Row],[budget]]*1000,Movies[[#This Row],[budget]])</f>
        <v>165</v>
      </c>
      <c r="M4" cm="1">
        <f t="array" ref="M4">IF(Movies[[#This Row],[unit]:[unit]]="Billions",Movies[[#This Row],[revenue]]*1000,Movies[[#This Row],[revenue]])</f>
        <v>644.79999999999995</v>
      </c>
      <c r="N4" cm="1">
        <f t="array" ref="N4">IF(Movies[[#This Row],[currency]:[currency]]="USD",Movies[[#This Row],[budget-mil]]*80,Movies[[#This Row],[budget-mil]])</f>
        <v>13200</v>
      </c>
      <c r="O4" cm="1">
        <f t="array" ref="O4">IF(Movies[[#This Row],[currency]:[currency]]="USD",Movies[[#This Row],[revenue-mil]]*80,Movies[[#This Row],[revenue-mil]])</f>
        <v>51584</v>
      </c>
      <c r="P4" cm="1">
        <f t="array" ref="P4">IF(Movies[[#This Row],[currency]:[currency]]="INR",Movies[[#This Row],[budget-mil]]/80,Movies[[#This Row],[budget-mil]])</f>
        <v>165</v>
      </c>
      <c r="Q4" cm="1">
        <f t="array" ref="Q4">IF(Movies[[#This Row],[currency]:[currency]]="INR",Movies[[#This Row],[revenue-mil]]/80,Movies[[#This Row],[revenue-mil]])</f>
        <v>644.79999999999995</v>
      </c>
    </row>
    <row r="5" spans="1:17" x14ac:dyDescent="0.3">
      <c r="A5">
        <v>104</v>
      </c>
      <c r="B5" t="s">
        <v>120</v>
      </c>
      <c r="C5" t="s">
        <v>7</v>
      </c>
      <c r="D5">
        <v>2017</v>
      </c>
      <c r="E5">
        <v>7.9</v>
      </c>
      <c r="F5" t="s">
        <v>8</v>
      </c>
      <c r="G5">
        <v>5</v>
      </c>
      <c r="H5" cm="1">
        <f t="array" ref="H5">_xlfn.XLOOKUP(Movies[[#This Row],[movie_id]:[movie_id]],Financials[[#All],[movie_id]:[movie_id]],Financials[[#All],[budget]],"Not Available",0)</f>
        <v>180</v>
      </c>
      <c r="I5" cm="1">
        <f t="array" ref="I5">_xlfn.XLOOKUP(Movies[[#This Row],[movie_id]:[movie_id]],Financials[[#All],[movie_id]:[movie_id]],Financials[[#All],[revenue]],"Not Available",0)</f>
        <v>854</v>
      </c>
      <c r="J5" t="str" cm="1">
        <f t="array" ref="J5">_xlfn.XLOOKUP(Movies[[#This Row],[movie_id]:[movie_id]],Financials[[#All],[movie_id]:[movie_id]],Financials[[#All],[unit]],"Not Available",0)</f>
        <v>Millions</v>
      </c>
      <c r="K5" t="str" cm="1">
        <f t="array" ref="K5">_xlfn.XLOOKUP(Movies[[#This Row],[movie_id]:[movie_id]],Financials[[#All],[movie_id]:[movie_id]],Financials[[#All],[currency]],"Not Available",0)</f>
        <v>USD</v>
      </c>
      <c r="L5" cm="1">
        <f t="array" ref="L5">IF(Movies[[#This Row],[unit]:[unit]]="Billions",Movies[[#This Row],[budget]]*1000,Movies[[#This Row],[budget]])</f>
        <v>180</v>
      </c>
      <c r="M5" cm="1">
        <f t="array" ref="M5">IF(Movies[[#This Row],[unit]:[unit]]="Billions",Movies[[#This Row],[revenue]]*1000,Movies[[#This Row],[revenue]])</f>
        <v>854</v>
      </c>
      <c r="N5" cm="1">
        <f t="array" ref="N5">IF(Movies[[#This Row],[currency]:[currency]]="USD",Movies[[#This Row],[budget-mil]]*80,Movies[[#This Row],[budget-mil]])</f>
        <v>14400</v>
      </c>
      <c r="O5" cm="1">
        <f t="array" ref="O5">IF(Movies[[#This Row],[currency]:[currency]]="USD",Movies[[#This Row],[revenue-mil]]*80,Movies[[#This Row],[revenue-mil]])</f>
        <v>68320</v>
      </c>
      <c r="P5" cm="1">
        <f t="array" ref="P5">IF(Movies[[#This Row],[currency]:[currency]]="INR",Movies[[#This Row],[budget-mil]]/80,Movies[[#This Row],[budget-mil]])</f>
        <v>180</v>
      </c>
      <c r="Q5" cm="1">
        <f t="array" ref="Q5">IF(Movies[[#This Row],[currency]:[currency]]="INR",Movies[[#This Row],[revenue-mil]]/80,Movies[[#This Row],[revenue-mil]])</f>
        <v>854</v>
      </c>
    </row>
    <row r="6" spans="1:17" x14ac:dyDescent="0.3">
      <c r="A6">
        <v>105</v>
      </c>
      <c r="B6" t="s">
        <v>121</v>
      </c>
      <c r="C6" t="s">
        <v>7</v>
      </c>
      <c r="D6">
        <v>2022</v>
      </c>
      <c r="E6">
        <v>6.8</v>
      </c>
      <c r="F6" t="s">
        <v>8</v>
      </c>
      <c r="G6">
        <v>5</v>
      </c>
      <c r="H6" cm="1">
        <f t="array" ref="H6">_xlfn.XLOOKUP(Movies[[#This Row],[movie_id]:[movie_id]],Financials[[#All],[movie_id]:[movie_id]],Financials[[#All],[budget]],"Not Available",0)</f>
        <v>250</v>
      </c>
      <c r="I6" cm="1">
        <f t="array" ref="I6">_xlfn.XLOOKUP(Movies[[#This Row],[movie_id]:[movie_id]],Financials[[#All],[movie_id]:[movie_id]],Financials[[#All],[revenue]],"Not Available",0)</f>
        <v>670</v>
      </c>
      <c r="J6" t="str" cm="1">
        <f t="array" ref="J6">_xlfn.XLOOKUP(Movies[[#This Row],[movie_id]:[movie_id]],Financials[[#All],[movie_id]:[movie_id]],Financials[[#All],[unit]],"Not Available",0)</f>
        <v>Millions</v>
      </c>
      <c r="K6" t="str" cm="1">
        <f t="array" ref="K6">_xlfn.XLOOKUP(Movies[[#This Row],[movie_id]:[movie_id]],Financials[[#All],[movie_id]:[movie_id]],Financials[[#All],[currency]],"Not Available",0)</f>
        <v>USD</v>
      </c>
      <c r="L6" cm="1">
        <f t="array" ref="L6">IF(Movies[[#This Row],[unit]:[unit]]="Billions",Movies[[#This Row],[budget]]*1000,Movies[[#This Row],[budget]])</f>
        <v>250</v>
      </c>
      <c r="M6" cm="1">
        <f t="array" ref="M6">IF(Movies[[#This Row],[unit]:[unit]]="Billions",Movies[[#This Row],[revenue]]*1000,Movies[[#This Row],[revenue]])</f>
        <v>670</v>
      </c>
      <c r="N6" cm="1">
        <f t="array" ref="N6">IF(Movies[[#This Row],[currency]:[currency]]="USD",Movies[[#This Row],[budget-mil]]*80,Movies[[#This Row],[budget-mil]])</f>
        <v>20000</v>
      </c>
      <c r="O6" cm="1">
        <f t="array" ref="O6">IF(Movies[[#This Row],[currency]:[currency]]="USD",Movies[[#This Row],[revenue-mil]]*80,Movies[[#This Row],[revenue-mil]])</f>
        <v>53600</v>
      </c>
      <c r="P6" cm="1">
        <f t="array" ref="P6">IF(Movies[[#This Row],[currency]:[currency]]="INR",Movies[[#This Row],[budget-mil]]/80,Movies[[#This Row],[budget-mil]])</f>
        <v>250</v>
      </c>
      <c r="Q6" cm="1">
        <f t="array" ref="Q6">IF(Movies[[#This Row],[currency]:[currency]]="INR",Movies[[#This Row],[revenue-mil]]/80,Movies[[#This Row],[revenue-mil]])</f>
        <v>670</v>
      </c>
    </row>
    <row r="7" spans="1:17" x14ac:dyDescent="0.3">
      <c r="A7">
        <v>106</v>
      </c>
      <c r="B7" t="s">
        <v>122</v>
      </c>
      <c r="C7" t="s">
        <v>6</v>
      </c>
      <c r="D7">
        <v>1975</v>
      </c>
      <c r="E7">
        <v>8.1</v>
      </c>
      <c r="F7" t="s">
        <v>9</v>
      </c>
      <c r="G7">
        <v>1</v>
      </c>
      <c r="H7" t="str" cm="1">
        <f t="array" ref="H7">_xlfn.XLOOKUP(Movies[[#This Row],[movie_id]:[movie_id]],Financials[[#All],[movie_id]:[movie_id]],Financials[[#All],[budget]],"Not Available",0)</f>
        <v>Not Available</v>
      </c>
      <c r="I7" t="str" cm="1">
        <f t="array" ref="I7">_xlfn.XLOOKUP(Movies[[#This Row],[movie_id]:[movie_id]],Financials[[#All],[movie_id]:[movie_id]],Financials[[#All],[revenue]],"Not Available",0)</f>
        <v>Not Available</v>
      </c>
      <c r="J7" t="str" cm="1">
        <f t="array" ref="J7">_xlfn.XLOOKUP(Movies[[#This Row],[movie_id]:[movie_id]],Financials[[#All],[movie_id]:[movie_id]],Financials[[#All],[unit]],"Not Available",0)</f>
        <v>Not Available</v>
      </c>
      <c r="K7" t="str" cm="1">
        <f t="array" ref="K7">_xlfn.XLOOKUP(Movies[[#This Row],[movie_id]:[movie_id]],Financials[[#All],[movie_id]:[movie_id]],Financials[[#All],[currency]],"Not Available",0)</f>
        <v>Not Available</v>
      </c>
      <c r="L7" t="str" cm="1">
        <f t="array" ref="L7">IF(Movies[[#This Row],[unit]:[unit]]="Billions",Movies[[#This Row],[budget]]*1000,Movies[[#This Row],[budget]])</f>
        <v>Not Available</v>
      </c>
      <c r="M7" t="str" cm="1">
        <f t="array" ref="M7">IF(Movies[[#This Row],[unit]:[unit]]="Billions",Movies[[#This Row],[revenue]]*1000,Movies[[#This Row],[revenue]])</f>
        <v>Not Available</v>
      </c>
      <c r="N7" t="str" cm="1">
        <f t="array" ref="N7">IF(Movies[[#This Row],[currency]:[currency]]="USD",Movies[[#This Row],[budget-mil]]*80,Movies[[#This Row],[budget-mil]])</f>
        <v>Not Available</v>
      </c>
      <c r="O7" t="str" cm="1">
        <f t="array" ref="O7">IF(Movies[[#This Row],[currency]:[currency]]="USD",Movies[[#This Row],[revenue-mil]]*80,Movies[[#This Row],[revenue-mil]])</f>
        <v>Not Available</v>
      </c>
      <c r="P7" t="str" cm="1">
        <f t="array" ref="P7">IF(Movies[[#This Row],[currency]:[currency]]="INR",Movies[[#This Row],[budget-mil]]/80,Movies[[#This Row],[budget-mil]])</f>
        <v>Not Available</v>
      </c>
      <c r="Q7" t="str" cm="1">
        <f t="array" ref="Q7">IF(Movies[[#This Row],[currency]:[currency]]="INR",Movies[[#This Row],[revenue-mil]]/80,Movies[[#This Row],[revenue-mil]])</f>
        <v>Not Available</v>
      </c>
    </row>
    <row r="8" spans="1:17" x14ac:dyDescent="0.3">
      <c r="A8">
        <v>107</v>
      </c>
      <c r="B8" t="s">
        <v>123</v>
      </c>
      <c r="C8" t="s">
        <v>6</v>
      </c>
      <c r="D8">
        <v>1995</v>
      </c>
      <c r="E8">
        <v>8</v>
      </c>
      <c r="F8" t="s">
        <v>10</v>
      </c>
      <c r="G8">
        <v>1</v>
      </c>
      <c r="H8" cm="1">
        <f t="array" ref="H8">_xlfn.XLOOKUP(Movies[[#This Row],[movie_id]:[movie_id]],Financials[[#All],[movie_id]:[movie_id]],Financials[[#All],[budget]],"Not Available",0)</f>
        <v>400</v>
      </c>
      <c r="I8" cm="1">
        <f t="array" ref="I8">_xlfn.XLOOKUP(Movies[[#This Row],[movie_id]:[movie_id]],Financials[[#All],[movie_id]:[movie_id]],Financials[[#All],[revenue]],"Not Available",0)</f>
        <v>2000</v>
      </c>
      <c r="J8" t="str" cm="1">
        <f t="array" ref="J8">_xlfn.XLOOKUP(Movies[[#This Row],[movie_id]:[movie_id]],Financials[[#All],[movie_id]:[movie_id]],Financials[[#All],[unit]],"Not Available",0)</f>
        <v>Millions</v>
      </c>
      <c r="K8" t="str" cm="1">
        <f t="array" ref="K8">_xlfn.XLOOKUP(Movies[[#This Row],[movie_id]:[movie_id]],Financials[[#All],[movie_id]:[movie_id]],Financials[[#All],[currency]],"Not Available",0)</f>
        <v>INR</v>
      </c>
      <c r="L8" cm="1">
        <f t="array" ref="L8">IF(Movies[[#This Row],[unit]:[unit]]="Billions",Movies[[#This Row],[budget]]*1000,Movies[[#This Row],[budget]])</f>
        <v>400</v>
      </c>
      <c r="M8" cm="1">
        <f t="array" ref="M8">IF(Movies[[#This Row],[unit]:[unit]]="Billions",Movies[[#This Row],[revenue]]*1000,Movies[[#This Row],[revenue]])</f>
        <v>2000</v>
      </c>
      <c r="N8" cm="1">
        <f t="array" ref="N8">IF(Movies[[#This Row],[currency]:[currency]]="USD",Movies[[#This Row],[budget-mil]]*80,Movies[[#This Row],[budget-mil]])</f>
        <v>400</v>
      </c>
      <c r="O8" cm="1">
        <f t="array" ref="O8">IF(Movies[[#This Row],[currency]:[currency]]="USD",Movies[[#This Row],[revenue-mil]]*80,Movies[[#This Row],[revenue-mil]])</f>
        <v>2000</v>
      </c>
      <c r="P8" cm="1">
        <f t="array" ref="P8">IF(Movies[[#This Row],[currency]:[currency]]="INR",Movies[[#This Row],[budget-mil]]/80,Movies[[#This Row],[budget-mil]])</f>
        <v>5</v>
      </c>
      <c r="Q8" cm="1">
        <f t="array" ref="Q8">IF(Movies[[#This Row],[currency]:[currency]]="INR",Movies[[#This Row],[revenue-mil]]/80,Movies[[#This Row],[revenue-mil]])</f>
        <v>25</v>
      </c>
    </row>
    <row r="9" spans="1:17" x14ac:dyDescent="0.3">
      <c r="A9">
        <v>108</v>
      </c>
      <c r="B9" t="s">
        <v>124</v>
      </c>
      <c r="C9" t="s">
        <v>6</v>
      </c>
      <c r="D9">
        <v>2009</v>
      </c>
      <c r="E9">
        <v>8.4</v>
      </c>
      <c r="F9" t="s">
        <v>11</v>
      </c>
      <c r="G9">
        <v>1</v>
      </c>
      <c r="H9" cm="1">
        <f t="array" ref="H9">_xlfn.XLOOKUP(Movies[[#This Row],[movie_id]:[movie_id]],Financials[[#All],[movie_id]:[movie_id]],Financials[[#All],[budget]],"Not Available",0)</f>
        <v>550</v>
      </c>
      <c r="I9" cm="1">
        <f t="array" ref="I9">_xlfn.XLOOKUP(Movies[[#This Row],[movie_id]:[movie_id]],Financials[[#All],[movie_id]:[movie_id]],Financials[[#All],[revenue]],"Not Available",0)</f>
        <v>4000</v>
      </c>
      <c r="J9" t="str" cm="1">
        <f t="array" ref="J9">_xlfn.XLOOKUP(Movies[[#This Row],[movie_id]:[movie_id]],Financials[[#All],[movie_id]:[movie_id]],Financials[[#All],[unit]],"Not Available",0)</f>
        <v>Millions</v>
      </c>
      <c r="K9" t="str" cm="1">
        <f t="array" ref="K9">_xlfn.XLOOKUP(Movies[[#This Row],[movie_id]:[movie_id]],Financials[[#All],[movie_id]:[movie_id]],Financials[[#All],[currency]],"Not Available",0)</f>
        <v>INR</v>
      </c>
      <c r="L9" cm="1">
        <f t="array" ref="L9">IF(Movies[[#This Row],[unit]:[unit]]="Billions",Movies[[#This Row],[budget]]*1000,Movies[[#This Row],[budget]])</f>
        <v>550</v>
      </c>
      <c r="M9" cm="1">
        <f t="array" ref="M9">IF(Movies[[#This Row],[unit]:[unit]]="Billions",Movies[[#This Row],[revenue]]*1000,Movies[[#This Row],[revenue]])</f>
        <v>4000</v>
      </c>
      <c r="N9" cm="1">
        <f t="array" ref="N9">IF(Movies[[#This Row],[currency]:[currency]]="USD",Movies[[#This Row],[budget-mil]]*80,Movies[[#This Row],[budget-mil]])</f>
        <v>550</v>
      </c>
      <c r="O9" cm="1">
        <f t="array" ref="O9">IF(Movies[[#This Row],[currency]:[currency]]="USD",Movies[[#This Row],[revenue-mil]]*80,Movies[[#This Row],[revenue-mil]])</f>
        <v>4000</v>
      </c>
      <c r="P9" cm="1">
        <f t="array" ref="P9">IF(Movies[[#This Row],[currency]:[currency]]="INR",Movies[[#This Row],[budget-mil]]/80,Movies[[#This Row],[budget-mil]])</f>
        <v>6.875</v>
      </c>
      <c r="Q9" cm="1">
        <f t="array" ref="Q9">IF(Movies[[#This Row],[currency]:[currency]]="INR",Movies[[#This Row],[revenue-mil]]/80,Movies[[#This Row],[revenue-mil]])</f>
        <v>50</v>
      </c>
    </row>
    <row r="10" spans="1:17" x14ac:dyDescent="0.3">
      <c r="A10">
        <v>109</v>
      </c>
      <c r="B10" t="s">
        <v>125</v>
      </c>
      <c r="C10" t="s">
        <v>6</v>
      </c>
      <c r="D10">
        <v>2001</v>
      </c>
      <c r="E10">
        <v>7.4</v>
      </c>
      <c r="F10" t="s">
        <v>12</v>
      </c>
      <c r="G10">
        <v>1</v>
      </c>
      <c r="H10" cm="1">
        <f t="array" ref="H10">_xlfn.XLOOKUP(Movies[[#This Row],[movie_id]:[movie_id]],Financials[[#All],[movie_id]:[movie_id]],Financials[[#All],[budget]],"Not Available",0)</f>
        <v>390</v>
      </c>
      <c r="I10" cm="1">
        <f t="array" ref="I10">_xlfn.XLOOKUP(Movies[[#This Row],[movie_id]:[movie_id]],Financials[[#All],[movie_id]:[movie_id]],Financials[[#All],[revenue]],"Not Available",0)</f>
        <v>1360</v>
      </c>
      <c r="J10" t="str" cm="1">
        <f t="array" ref="J10">_xlfn.XLOOKUP(Movies[[#This Row],[movie_id]:[movie_id]],Financials[[#All],[movie_id]:[movie_id]],Financials[[#All],[unit]],"Not Available",0)</f>
        <v>Millions</v>
      </c>
      <c r="K10" t="str" cm="1">
        <f t="array" ref="K10">_xlfn.XLOOKUP(Movies[[#This Row],[movie_id]:[movie_id]],Financials[[#All],[movie_id]:[movie_id]],Financials[[#All],[currency]],"Not Available",0)</f>
        <v>INR</v>
      </c>
      <c r="L10" cm="1">
        <f t="array" ref="L10">IF(Movies[[#This Row],[unit]:[unit]]="Billions",Movies[[#This Row],[budget]]*1000,Movies[[#This Row],[budget]])</f>
        <v>390</v>
      </c>
      <c r="M10" cm="1">
        <f t="array" ref="M10">IF(Movies[[#This Row],[unit]:[unit]]="Billions",Movies[[#This Row],[revenue]]*1000,Movies[[#This Row],[revenue]])</f>
        <v>1360</v>
      </c>
      <c r="N10" cm="1">
        <f t="array" ref="N10">IF(Movies[[#This Row],[currency]:[currency]]="USD",Movies[[#This Row],[budget-mil]]*80,Movies[[#This Row],[budget-mil]])</f>
        <v>390</v>
      </c>
      <c r="O10" cm="1">
        <f t="array" ref="O10">IF(Movies[[#This Row],[currency]:[currency]]="USD",Movies[[#This Row],[revenue-mil]]*80,Movies[[#This Row],[revenue-mil]])</f>
        <v>1360</v>
      </c>
      <c r="P10" cm="1">
        <f t="array" ref="P10">IF(Movies[[#This Row],[currency]:[currency]]="INR",Movies[[#This Row],[budget-mil]]/80,Movies[[#This Row],[budget-mil]])</f>
        <v>4.875</v>
      </c>
      <c r="Q10" cm="1">
        <f t="array" ref="Q10">IF(Movies[[#This Row],[currency]:[currency]]="INR",Movies[[#This Row],[revenue-mil]]/80,Movies[[#This Row],[revenue-mil]])</f>
        <v>17</v>
      </c>
    </row>
    <row r="11" spans="1:17" x14ac:dyDescent="0.3">
      <c r="A11">
        <v>110</v>
      </c>
      <c r="B11" t="s">
        <v>126</v>
      </c>
      <c r="C11" t="s">
        <v>6</v>
      </c>
      <c r="D11">
        <v>2015</v>
      </c>
      <c r="E11">
        <v>7.2</v>
      </c>
      <c r="F11" t="s">
        <v>114</v>
      </c>
      <c r="G11">
        <v>1</v>
      </c>
      <c r="H11" cm="1">
        <f t="array" ref="H11">_xlfn.XLOOKUP(Movies[[#This Row],[movie_id]:[movie_id]],Financials[[#All],[movie_id]:[movie_id]],Financials[[#All],[budget]],"Not Available",0)</f>
        <v>1.4</v>
      </c>
      <c r="I11" cm="1">
        <f t="array" ref="I11">_xlfn.XLOOKUP(Movies[[#This Row],[movie_id]:[movie_id]],Financials[[#All],[movie_id]:[movie_id]],Financials[[#All],[revenue]],"Not Available",0)</f>
        <v>3.5</v>
      </c>
      <c r="J11" t="str" cm="1">
        <f t="array" ref="J11">_xlfn.XLOOKUP(Movies[[#This Row],[movie_id]:[movie_id]],Financials[[#All],[movie_id]:[movie_id]],Financials[[#All],[unit]],"Not Available",0)</f>
        <v>Billions</v>
      </c>
      <c r="K11" t="str" cm="1">
        <f t="array" ref="K11">_xlfn.XLOOKUP(Movies[[#This Row],[movie_id]:[movie_id]],Financials[[#All],[movie_id]:[movie_id]],Financials[[#All],[currency]],"Not Available",0)</f>
        <v>INR</v>
      </c>
      <c r="L11" cm="1">
        <f t="array" ref="L11">IF(Movies[[#This Row],[unit]:[unit]]="Billions",Movies[[#This Row],[budget]]*1000,Movies[[#This Row],[budget]])</f>
        <v>1400</v>
      </c>
      <c r="M11" cm="1">
        <f t="array" ref="M11">IF(Movies[[#This Row],[unit]:[unit]]="Billions",Movies[[#This Row],[revenue]]*1000,Movies[[#This Row],[revenue]])</f>
        <v>3500</v>
      </c>
      <c r="N11" cm="1">
        <f t="array" ref="N11">IF(Movies[[#This Row],[currency]:[currency]]="USD",Movies[[#This Row],[budget-mil]]*80,Movies[[#This Row],[budget-mil]])</f>
        <v>1400</v>
      </c>
      <c r="O11" cm="1">
        <f t="array" ref="O11">IF(Movies[[#This Row],[currency]:[currency]]="USD",Movies[[#This Row],[revenue-mil]]*80,Movies[[#This Row],[revenue-mil]])</f>
        <v>3500</v>
      </c>
      <c r="P11" cm="1">
        <f t="array" ref="P11">IF(Movies[[#This Row],[currency]:[currency]]="INR",Movies[[#This Row],[budget-mil]]/80,Movies[[#This Row],[budget-mil]])</f>
        <v>17.5</v>
      </c>
      <c r="Q11" cm="1">
        <f t="array" ref="Q11">IF(Movies[[#This Row],[currency]:[currency]]="INR",Movies[[#This Row],[revenue-mil]]/80,Movies[[#This Row],[revenue-mil]])</f>
        <v>43.75</v>
      </c>
    </row>
    <row r="12" spans="1:17" x14ac:dyDescent="0.3">
      <c r="A12">
        <v>111</v>
      </c>
      <c r="B12" t="s">
        <v>127</v>
      </c>
      <c r="C12" t="s">
        <v>7</v>
      </c>
      <c r="D12">
        <v>1994</v>
      </c>
      <c r="E12">
        <v>9.3000000000000007</v>
      </c>
      <c r="F12" t="s">
        <v>13</v>
      </c>
      <c r="G12">
        <v>5</v>
      </c>
      <c r="H12" cm="1">
        <f t="array" ref="H12">_xlfn.XLOOKUP(Movies[[#This Row],[movie_id]:[movie_id]],Financials[[#All],[movie_id]:[movie_id]],Financials[[#All],[budget]],"Not Available",0)</f>
        <v>25</v>
      </c>
      <c r="I12" cm="1">
        <f t="array" ref="I12">_xlfn.XLOOKUP(Movies[[#This Row],[movie_id]:[movie_id]],Financials[[#All],[movie_id]:[movie_id]],Financials[[#All],[revenue]],"Not Available",0)</f>
        <v>73.3</v>
      </c>
      <c r="J12" t="str" cm="1">
        <f t="array" ref="J12">_xlfn.XLOOKUP(Movies[[#This Row],[movie_id]:[movie_id]],Financials[[#All],[movie_id]:[movie_id]],Financials[[#All],[unit]],"Not Available",0)</f>
        <v>Millions</v>
      </c>
      <c r="K12" t="str" cm="1">
        <f t="array" ref="K12">_xlfn.XLOOKUP(Movies[[#This Row],[movie_id]:[movie_id]],Financials[[#All],[movie_id]:[movie_id]],Financials[[#All],[currency]],"Not Available",0)</f>
        <v>USD</v>
      </c>
      <c r="L12" cm="1">
        <f t="array" ref="L12">IF(Movies[[#This Row],[unit]:[unit]]="Billions",Movies[[#This Row],[budget]]*1000,Movies[[#This Row],[budget]])</f>
        <v>25</v>
      </c>
      <c r="M12" cm="1">
        <f t="array" ref="M12">IF(Movies[[#This Row],[unit]:[unit]]="Billions",Movies[[#This Row],[revenue]]*1000,Movies[[#This Row],[revenue]])</f>
        <v>73.3</v>
      </c>
      <c r="N12" cm="1">
        <f t="array" ref="N12">IF(Movies[[#This Row],[currency]:[currency]]="USD",Movies[[#This Row],[budget-mil]]*80,Movies[[#This Row],[budget-mil]])</f>
        <v>2000</v>
      </c>
      <c r="O12" cm="1">
        <f t="array" ref="O12">IF(Movies[[#This Row],[currency]:[currency]]="USD",Movies[[#This Row],[revenue-mil]]*80,Movies[[#This Row],[revenue-mil]])</f>
        <v>5864</v>
      </c>
      <c r="P12" cm="1">
        <f t="array" ref="P12">IF(Movies[[#This Row],[currency]:[currency]]="INR",Movies[[#This Row],[budget-mil]]/80,Movies[[#This Row],[budget-mil]])</f>
        <v>25</v>
      </c>
      <c r="Q12" cm="1">
        <f t="array" ref="Q12">IF(Movies[[#This Row],[currency]:[currency]]="INR",Movies[[#This Row],[revenue-mil]]/80,Movies[[#This Row],[revenue-mil]])</f>
        <v>73.3</v>
      </c>
    </row>
    <row r="13" spans="1:17" x14ac:dyDescent="0.3">
      <c r="A13">
        <v>112</v>
      </c>
      <c r="B13" t="s">
        <v>128</v>
      </c>
      <c r="C13" t="s">
        <v>7</v>
      </c>
      <c r="D13">
        <v>2010</v>
      </c>
      <c r="E13">
        <v>8.8000000000000007</v>
      </c>
      <c r="F13" t="s">
        <v>14</v>
      </c>
      <c r="G13">
        <v>5</v>
      </c>
      <c r="H13" t="str" cm="1">
        <f t="array" ref="H13">_xlfn.XLOOKUP(Movies[[#This Row],[movie_id]:[movie_id]],Financials[[#All],[movie_id]:[movie_id]],Financials[[#All],[budget]],"Not Available",0)</f>
        <v>Not Available</v>
      </c>
      <c r="I13" t="str" cm="1">
        <f t="array" ref="I13">_xlfn.XLOOKUP(Movies[[#This Row],[movie_id]:[movie_id]],Financials[[#All],[movie_id]:[movie_id]],Financials[[#All],[revenue]],"Not Available",0)</f>
        <v>Not Available</v>
      </c>
      <c r="J13" t="str" cm="1">
        <f t="array" ref="J13">_xlfn.XLOOKUP(Movies[[#This Row],[movie_id]:[movie_id]],Financials[[#All],[movie_id]:[movie_id]],Financials[[#All],[unit]],"Not Available",0)</f>
        <v>Not Available</v>
      </c>
      <c r="K13" t="str" cm="1">
        <f t="array" ref="K13">_xlfn.XLOOKUP(Movies[[#This Row],[movie_id]:[movie_id]],Financials[[#All],[movie_id]:[movie_id]],Financials[[#All],[currency]],"Not Available",0)</f>
        <v>Not Available</v>
      </c>
      <c r="L13" t="str" cm="1">
        <f t="array" ref="L13">IF(Movies[[#This Row],[unit]:[unit]]="Billions",Movies[[#This Row],[budget]]*1000,Movies[[#This Row],[budget]])</f>
        <v>Not Available</v>
      </c>
      <c r="M13" t="str" cm="1">
        <f t="array" ref="M13">IF(Movies[[#This Row],[unit]:[unit]]="Billions",Movies[[#This Row],[revenue]]*1000,Movies[[#This Row],[revenue]])</f>
        <v>Not Available</v>
      </c>
      <c r="N13" t="str" cm="1">
        <f t="array" ref="N13">IF(Movies[[#This Row],[currency]:[currency]]="USD",Movies[[#This Row],[budget-mil]]*80,Movies[[#This Row],[budget-mil]])</f>
        <v>Not Available</v>
      </c>
      <c r="O13" t="str" cm="1">
        <f t="array" ref="O13">IF(Movies[[#This Row],[currency]:[currency]]="USD",Movies[[#This Row],[revenue-mil]]*80,Movies[[#This Row],[revenue-mil]])</f>
        <v>Not Available</v>
      </c>
      <c r="P13" t="str" cm="1">
        <f t="array" ref="P13">IF(Movies[[#This Row],[currency]:[currency]]="INR",Movies[[#This Row],[budget-mil]]/80,Movies[[#This Row],[budget-mil]])</f>
        <v>Not Available</v>
      </c>
      <c r="Q13" t="str" cm="1">
        <f t="array" ref="Q13">IF(Movies[[#This Row],[currency]:[currency]]="INR",Movies[[#This Row],[revenue-mil]]/80,Movies[[#This Row],[revenue-mil]])</f>
        <v>Not Available</v>
      </c>
    </row>
    <row r="14" spans="1:17" x14ac:dyDescent="0.3">
      <c r="A14">
        <v>113</v>
      </c>
      <c r="B14" t="s">
        <v>129</v>
      </c>
      <c r="C14" t="s">
        <v>7</v>
      </c>
      <c r="D14">
        <v>2014</v>
      </c>
      <c r="E14">
        <v>8.6</v>
      </c>
      <c r="F14" t="s">
        <v>14</v>
      </c>
      <c r="G14">
        <v>5</v>
      </c>
      <c r="H14" cm="1">
        <f t="array" ref="H14">_xlfn.XLOOKUP(Movies[[#This Row],[movie_id]:[movie_id]],Financials[[#All],[movie_id]:[movie_id]],Financials[[#All],[budget]],"Not Available",0)</f>
        <v>165</v>
      </c>
      <c r="I14" cm="1">
        <f t="array" ref="I14">_xlfn.XLOOKUP(Movies[[#This Row],[movie_id]:[movie_id]],Financials[[#All],[movie_id]:[movie_id]],Financials[[#All],[revenue]],"Not Available",0)</f>
        <v>701.8</v>
      </c>
      <c r="J14" t="str" cm="1">
        <f t="array" ref="J14">_xlfn.XLOOKUP(Movies[[#This Row],[movie_id]:[movie_id]],Financials[[#All],[movie_id]:[movie_id]],Financials[[#All],[unit]],"Not Available",0)</f>
        <v>Millions</v>
      </c>
      <c r="K14" t="str" cm="1">
        <f t="array" ref="K14">_xlfn.XLOOKUP(Movies[[#This Row],[movie_id]:[movie_id]],Financials[[#All],[movie_id]:[movie_id]],Financials[[#All],[currency]],"Not Available",0)</f>
        <v>USD</v>
      </c>
      <c r="L14" cm="1">
        <f t="array" ref="L14">IF(Movies[[#This Row],[unit]:[unit]]="Billions",Movies[[#This Row],[budget]]*1000,Movies[[#This Row],[budget]])</f>
        <v>165</v>
      </c>
      <c r="M14" cm="1">
        <f t="array" ref="M14">IF(Movies[[#This Row],[unit]:[unit]]="Billions",Movies[[#This Row],[revenue]]*1000,Movies[[#This Row],[revenue]])</f>
        <v>701.8</v>
      </c>
      <c r="N14" cm="1">
        <f t="array" ref="N14">IF(Movies[[#This Row],[currency]:[currency]]="USD",Movies[[#This Row],[budget-mil]]*80,Movies[[#This Row],[budget-mil]])</f>
        <v>13200</v>
      </c>
      <c r="O14" cm="1">
        <f t="array" ref="O14">IF(Movies[[#This Row],[currency]:[currency]]="USD",Movies[[#This Row],[revenue-mil]]*80,Movies[[#This Row],[revenue-mil]])</f>
        <v>56144</v>
      </c>
      <c r="P14" cm="1">
        <f t="array" ref="P14">IF(Movies[[#This Row],[currency]:[currency]]="INR",Movies[[#This Row],[budget-mil]]/80,Movies[[#This Row],[budget-mil]])</f>
        <v>165</v>
      </c>
      <c r="Q14" cm="1">
        <f t="array" ref="Q14">IF(Movies[[#This Row],[currency]:[currency]]="INR",Movies[[#This Row],[revenue-mil]]/80,Movies[[#This Row],[revenue-mil]])</f>
        <v>701.8</v>
      </c>
    </row>
    <row r="15" spans="1:17" x14ac:dyDescent="0.3">
      <c r="A15">
        <v>115</v>
      </c>
      <c r="B15" t="s">
        <v>130</v>
      </c>
      <c r="C15" t="s">
        <v>7</v>
      </c>
      <c r="D15">
        <v>2006</v>
      </c>
      <c r="E15">
        <v>8</v>
      </c>
      <c r="F15" t="s">
        <v>15</v>
      </c>
      <c r="G15">
        <v>5</v>
      </c>
      <c r="H15" cm="1">
        <f t="array" ref="H15">_xlfn.XLOOKUP(Movies[[#This Row],[movie_id]:[movie_id]],Financials[[#All],[movie_id]:[movie_id]],Financials[[#All],[budget]],"Not Available",0)</f>
        <v>55</v>
      </c>
      <c r="I15" cm="1">
        <f t="array" ref="I15">_xlfn.XLOOKUP(Movies[[#This Row],[movie_id]:[movie_id]],Financials[[#All],[movie_id]:[movie_id]],Financials[[#All],[revenue]],"Not Available",0)</f>
        <v>307.10000000000002</v>
      </c>
      <c r="J15" t="str" cm="1">
        <f t="array" ref="J15">_xlfn.XLOOKUP(Movies[[#This Row],[movie_id]:[movie_id]],Financials[[#All],[movie_id]:[movie_id]],Financials[[#All],[unit]],"Not Available",0)</f>
        <v>Millions</v>
      </c>
      <c r="K15" t="str" cm="1">
        <f t="array" ref="K15">_xlfn.XLOOKUP(Movies[[#This Row],[movie_id]:[movie_id]],Financials[[#All],[movie_id]:[movie_id]],Financials[[#All],[currency]],"Not Available",0)</f>
        <v>USD</v>
      </c>
      <c r="L15" cm="1">
        <f t="array" ref="L15">IF(Movies[[#This Row],[unit]:[unit]]="Billions",Movies[[#This Row],[budget]]*1000,Movies[[#This Row],[budget]])</f>
        <v>55</v>
      </c>
      <c r="M15" cm="1">
        <f t="array" ref="M15">IF(Movies[[#This Row],[unit]:[unit]]="Billions",Movies[[#This Row],[revenue]]*1000,Movies[[#This Row],[revenue]])</f>
        <v>307.10000000000002</v>
      </c>
      <c r="N15" cm="1">
        <f t="array" ref="N15">IF(Movies[[#This Row],[currency]:[currency]]="USD",Movies[[#This Row],[budget-mil]]*80,Movies[[#This Row],[budget-mil]])</f>
        <v>4400</v>
      </c>
      <c r="O15" cm="1">
        <f t="array" ref="O15">IF(Movies[[#This Row],[currency]:[currency]]="USD",Movies[[#This Row],[revenue-mil]]*80,Movies[[#This Row],[revenue-mil]])</f>
        <v>24568</v>
      </c>
      <c r="P15" cm="1">
        <f t="array" ref="P15">IF(Movies[[#This Row],[currency]:[currency]]="INR",Movies[[#This Row],[budget-mil]]/80,Movies[[#This Row],[budget-mil]])</f>
        <v>55</v>
      </c>
      <c r="Q15" cm="1">
        <f t="array" ref="Q15">IF(Movies[[#This Row],[currency]:[currency]]="INR",Movies[[#This Row],[revenue-mil]]/80,Movies[[#This Row],[revenue-mil]])</f>
        <v>307.10000000000002</v>
      </c>
    </row>
    <row r="16" spans="1:17" x14ac:dyDescent="0.3">
      <c r="A16">
        <v>116</v>
      </c>
      <c r="B16" t="s">
        <v>131</v>
      </c>
      <c r="C16" t="s">
        <v>7</v>
      </c>
      <c r="D16">
        <v>2000</v>
      </c>
      <c r="E16">
        <v>8.5</v>
      </c>
      <c r="F16" t="s">
        <v>20</v>
      </c>
      <c r="G16">
        <v>5</v>
      </c>
      <c r="H16" cm="1">
        <f t="array" ref="H16">_xlfn.XLOOKUP(Movies[[#This Row],[movie_id]:[movie_id]],Financials[[#All],[movie_id]:[movie_id]],Financials[[#All],[budget]],"Not Available",0)</f>
        <v>103</v>
      </c>
      <c r="I16" cm="1">
        <f t="array" ref="I16">_xlfn.XLOOKUP(Movies[[#This Row],[movie_id]:[movie_id]],Financials[[#All],[movie_id]:[movie_id]],Financials[[#All],[revenue]],"Not Available",0)</f>
        <v>460.5</v>
      </c>
      <c r="J16" t="str" cm="1">
        <f t="array" ref="J16">_xlfn.XLOOKUP(Movies[[#This Row],[movie_id]:[movie_id]],Financials[[#All],[movie_id]:[movie_id]],Financials[[#All],[unit]],"Not Available",0)</f>
        <v>Millions</v>
      </c>
      <c r="K16" t="str" cm="1">
        <f t="array" ref="K16">_xlfn.XLOOKUP(Movies[[#This Row],[movie_id]:[movie_id]],Financials[[#All],[movie_id]:[movie_id]],Financials[[#All],[currency]],"Not Available",0)</f>
        <v>USD</v>
      </c>
      <c r="L16" cm="1">
        <f t="array" ref="L16">IF(Movies[[#This Row],[unit]:[unit]]="Billions",Movies[[#This Row],[budget]]*1000,Movies[[#This Row],[budget]])</f>
        <v>103</v>
      </c>
      <c r="M16" cm="1">
        <f t="array" ref="M16">IF(Movies[[#This Row],[unit]:[unit]]="Billions",Movies[[#This Row],[revenue]]*1000,Movies[[#This Row],[revenue]])</f>
        <v>460.5</v>
      </c>
      <c r="N16" cm="1">
        <f t="array" ref="N16">IF(Movies[[#This Row],[currency]:[currency]]="USD",Movies[[#This Row],[budget-mil]]*80,Movies[[#This Row],[budget-mil]])</f>
        <v>8240</v>
      </c>
      <c r="O16" cm="1">
        <f t="array" ref="O16">IF(Movies[[#This Row],[currency]:[currency]]="USD",Movies[[#This Row],[revenue-mil]]*80,Movies[[#This Row],[revenue-mil]])</f>
        <v>36840</v>
      </c>
      <c r="P16" cm="1">
        <f t="array" ref="P16">IF(Movies[[#This Row],[currency]:[currency]]="INR",Movies[[#This Row],[budget-mil]]/80,Movies[[#This Row],[budget-mil]])</f>
        <v>103</v>
      </c>
      <c r="Q16" cm="1">
        <f t="array" ref="Q16">IF(Movies[[#This Row],[currency]:[currency]]="INR",Movies[[#This Row],[revenue-mil]]/80,Movies[[#This Row],[revenue-mil]])</f>
        <v>460.5</v>
      </c>
    </row>
    <row r="17" spans="1:17" x14ac:dyDescent="0.3">
      <c r="A17">
        <v>117</v>
      </c>
      <c r="B17" t="s">
        <v>132</v>
      </c>
      <c r="C17" t="s">
        <v>7</v>
      </c>
      <c r="D17">
        <v>1997</v>
      </c>
      <c r="E17">
        <v>7.9</v>
      </c>
      <c r="F17" t="s">
        <v>16</v>
      </c>
      <c r="G17">
        <v>5</v>
      </c>
      <c r="H17" cm="1">
        <f t="array" ref="H17">_xlfn.XLOOKUP(Movies[[#This Row],[movie_id]:[movie_id]],Financials[[#All],[movie_id]:[movie_id]],Financials[[#All],[budget]],"Not Available",0)</f>
        <v>200</v>
      </c>
      <c r="I17" cm="1">
        <f t="array" ref="I17">_xlfn.XLOOKUP(Movies[[#This Row],[movie_id]:[movie_id]],Financials[[#All],[movie_id]:[movie_id]],Financials[[#All],[revenue]],"Not Available",0)</f>
        <v>2202</v>
      </c>
      <c r="J17" t="str" cm="1">
        <f t="array" ref="J17">_xlfn.XLOOKUP(Movies[[#This Row],[movie_id]:[movie_id]],Financials[[#All],[movie_id]:[movie_id]],Financials[[#All],[unit]],"Not Available",0)</f>
        <v>Millions</v>
      </c>
      <c r="K17" t="str" cm="1">
        <f t="array" ref="K17">_xlfn.XLOOKUP(Movies[[#This Row],[movie_id]:[movie_id]],Financials[[#All],[movie_id]:[movie_id]],Financials[[#All],[currency]],"Not Available",0)</f>
        <v>USD</v>
      </c>
      <c r="L17" cm="1">
        <f t="array" ref="L17">IF(Movies[[#This Row],[unit]:[unit]]="Billions",Movies[[#This Row],[budget]]*1000,Movies[[#This Row],[budget]])</f>
        <v>200</v>
      </c>
      <c r="M17" cm="1">
        <f t="array" ref="M17">IF(Movies[[#This Row],[unit]:[unit]]="Billions",Movies[[#This Row],[revenue]]*1000,Movies[[#This Row],[revenue]])</f>
        <v>2202</v>
      </c>
      <c r="N17" cm="1">
        <f t="array" ref="N17">IF(Movies[[#This Row],[currency]:[currency]]="USD",Movies[[#This Row],[budget-mil]]*80,Movies[[#This Row],[budget-mil]])</f>
        <v>16000</v>
      </c>
      <c r="O17" cm="1">
        <f t="array" ref="O17">IF(Movies[[#This Row],[currency]:[currency]]="USD",Movies[[#This Row],[revenue-mil]]*80,Movies[[#This Row],[revenue-mil]])</f>
        <v>176160</v>
      </c>
      <c r="P17" cm="1">
        <f t="array" ref="P17">IF(Movies[[#This Row],[currency]:[currency]]="INR",Movies[[#This Row],[budget-mil]]/80,Movies[[#This Row],[budget-mil]])</f>
        <v>200</v>
      </c>
      <c r="Q17" cm="1">
        <f t="array" ref="Q17">IF(Movies[[#This Row],[currency]:[currency]]="INR",Movies[[#This Row],[revenue-mil]]/80,Movies[[#This Row],[revenue-mil]])</f>
        <v>2202</v>
      </c>
    </row>
    <row r="18" spans="1:17" x14ac:dyDescent="0.3">
      <c r="A18">
        <v>118</v>
      </c>
      <c r="B18" t="s">
        <v>133</v>
      </c>
      <c r="C18" t="s">
        <v>7</v>
      </c>
      <c r="D18">
        <v>1946</v>
      </c>
      <c r="E18">
        <v>8.6</v>
      </c>
      <c r="F18" t="s">
        <v>17</v>
      </c>
      <c r="G18">
        <v>5</v>
      </c>
      <c r="H18" cm="1">
        <f t="array" ref="H18">_xlfn.XLOOKUP(Movies[[#This Row],[movie_id]:[movie_id]],Financials[[#All],[movie_id]:[movie_id]],Financials[[#All],[budget]],"Not Available",0)</f>
        <v>3.18</v>
      </c>
      <c r="I18" cm="1">
        <f t="array" ref="I18">_xlfn.XLOOKUP(Movies[[#This Row],[movie_id]:[movie_id]],Financials[[#All],[movie_id]:[movie_id]],Financials[[#All],[revenue]],"Not Available",0)</f>
        <v>3.3</v>
      </c>
      <c r="J18" t="str" cm="1">
        <f t="array" ref="J18">_xlfn.XLOOKUP(Movies[[#This Row],[movie_id]:[movie_id]],Financials[[#All],[movie_id]:[movie_id]],Financials[[#All],[unit]],"Not Available",0)</f>
        <v>Millions</v>
      </c>
      <c r="K18" t="str" cm="1">
        <f t="array" ref="K18">_xlfn.XLOOKUP(Movies[[#This Row],[movie_id]:[movie_id]],Financials[[#All],[movie_id]:[movie_id]],Financials[[#All],[currency]],"Not Available",0)</f>
        <v>USD</v>
      </c>
      <c r="L18" cm="1">
        <f t="array" ref="L18">IF(Movies[[#This Row],[unit]:[unit]]="Billions",Movies[[#This Row],[budget]]*1000,Movies[[#This Row],[budget]])</f>
        <v>3.18</v>
      </c>
      <c r="M18" cm="1">
        <f t="array" ref="M18">IF(Movies[[#This Row],[unit]:[unit]]="Billions",Movies[[#This Row],[revenue]]*1000,Movies[[#This Row],[revenue]])</f>
        <v>3.3</v>
      </c>
      <c r="N18" cm="1">
        <f t="array" ref="N18">IF(Movies[[#This Row],[currency]:[currency]]="USD",Movies[[#This Row],[budget-mil]]*80,Movies[[#This Row],[budget-mil]])</f>
        <v>254.4</v>
      </c>
      <c r="O18" cm="1">
        <f t="array" ref="O18">IF(Movies[[#This Row],[currency]:[currency]]="USD",Movies[[#This Row],[revenue-mil]]*80,Movies[[#This Row],[revenue-mil]])</f>
        <v>264</v>
      </c>
      <c r="P18" cm="1">
        <f t="array" ref="P18">IF(Movies[[#This Row],[currency]:[currency]]="INR",Movies[[#This Row],[budget-mil]]/80,Movies[[#This Row],[budget-mil]])</f>
        <v>3.18</v>
      </c>
      <c r="Q18" cm="1">
        <f t="array" ref="Q18">IF(Movies[[#This Row],[currency]:[currency]]="INR",Movies[[#This Row],[revenue-mil]]/80,Movies[[#This Row],[revenue-mil]])</f>
        <v>3.3</v>
      </c>
    </row>
    <row r="19" spans="1:17" x14ac:dyDescent="0.3">
      <c r="A19">
        <v>119</v>
      </c>
      <c r="B19" t="s">
        <v>134</v>
      </c>
      <c r="C19" t="s">
        <v>7</v>
      </c>
      <c r="D19">
        <v>2009</v>
      </c>
      <c r="E19">
        <v>7.8</v>
      </c>
      <c r="F19" t="s">
        <v>18</v>
      </c>
      <c r="G19">
        <v>5</v>
      </c>
      <c r="H19" cm="1">
        <f t="array" ref="H19">_xlfn.XLOOKUP(Movies[[#This Row],[movie_id]:[movie_id]],Financials[[#All],[movie_id]:[movie_id]],Financials[[#All],[budget]],"Not Available",0)</f>
        <v>237</v>
      </c>
      <c r="I19" cm="1">
        <f t="array" ref="I19">_xlfn.XLOOKUP(Movies[[#This Row],[movie_id]:[movie_id]],Financials[[#All],[movie_id]:[movie_id]],Financials[[#All],[revenue]],"Not Available",0)</f>
        <v>2847</v>
      </c>
      <c r="J19" t="str" cm="1">
        <f t="array" ref="J19">_xlfn.XLOOKUP(Movies[[#This Row],[movie_id]:[movie_id]],Financials[[#All],[movie_id]:[movie_id]],Financials[[#All],[unit]],"Not Available",0)</f>
        <v>Millions</v>
      </c>
      <c r="K19" t="str" cm="1">
        <f t="array" ref="K19">_xlfn.XLOOKUP(Movies[[#This Row],[movie_id]:[movie_id]],Financials[[#All],[movie_id]:[movie_id]],Financials[[#All],[currency]],"Not Available",0)</f>
        <v>USD</v>
      </c>
      <c r="L19" cm="1">
        <f t="array" ref="L19">IF(Movies[[#This Row],[unit]:[unit]]="Billions",Movies[[#This Row],[budget]]*1000,Movies[[#This Row],[budget]])</f>
        <v>237</v>
      </c>
      <c r="M19" cm="1">
        <f t="array" ref="M19">IF(Movies[[#This Row],[unit]:[unit]]="Billions",Movies[[#This Row],[revenue]]*1000,Movies[[#This Row],[revenue]])</f>
        <v>2847</v>
      </c>
      <c r="N19" cm="1">
        <f t="array" ref="N19">IF(Movies[[#This Row],[currency]:[currency]]="USD",Movies[[#This Row],[budget-mil]]*80,Movies[[#This Row],[budget-mil]])</f>
        <v>18960</v>
      </c>
      <c r="O19" cm="1">
        <f t="array" ref="O19">IF(Movies[[#This Row],[currency]:[currency]]="USD",Movies[[#This Row],[revenue-mil]]*80,Movies[[#This Row],[revenue-mil]])</f>
        <v>227760</v>
      </c>
      <c r="P19" cm="1">
        <f t="array" ref="P19">IF(Movies[[#This Row],[currency]:[currency]]="INR",Movies[[#This Row],[budget-mil]]/80,Movies[[#This Row],[budget-mil]])</f>
        <v>237</v>
      </c>
      <c r="Q19" cm="1">
        <f t="array" ref="Q19">IF(Movies[[#This Row],[currency]:[currency]]="INR",Movies[[#This Row],[revenue-mil]]/80,Movies[[#This Row],[revenue-mil]])</f>
        <v>2847</v>
      </c>
    </row>
    <row r="20" spans="1:17" x14ac:dyDescent="0.3">
      <c r="A20">
        <v>120</v>
      </c>
      <c r="B20" t="s">
        <v>135</v>
      </c>
      <c r="C20" t="s">
        <v>7</v>
      </c>
      <c r="D20">
        <v>1972</v>
      </c>
      <c r="E20">
        <v>9.1999999999999993</v>
      </c>
      <c r="F20" t="s">
        <v>16</v>
      </c>
      <c r="G20">
        <v>5</v>
      </c>
      <c r="H20" cm="1">
        <f t="array" ref="H20">_xlfn.XLOOKUP(Movies[[#This Row],[movie_id]:[movie_id]],Financials[[#All],[movie_id]:[movie_id]],Financials[[#All],[budget]],"Not Available",0)</f>
        <v>7.2</v>
      </c>
      <c r="I20" cm="1">
        <f t="array" ref="I20">_xlfn.XLOOKUP(Movies[[#This Row],[movie_id]:[movie_id]],Financials[[#All],[movie_id]:[movie_id]],Financials[[#All],[revenue]],"Not Available",0)</f>
        <v>291</v>
      </c>
      <c r="J20" t="str" cm="1">
        <f t="array" ref="J20">_xlfn.XLOOKUP(Movies[[#This Row],[movie_id]:[movie_id]],Financials[[#All],[movie_id]:[movie_id]],Financials[[#All],[unit]],"Not Available",0)</f>
        <v>Millions</v>
      </c>
      <c r="K20" t="str" cm="1">
        <f t="array" ref="K20">_xlfn.XLOOKUP(Movies[[#This Row],[movie_id]:[movie_id]],Financials[[#All],[movie_id]:[movie_id]],Financials[[#All],[currency]],"Not Available",0)</f>
        <v>USD</v>
      </c>
      <c r="L20" cm="1">
        <f t="array" ref="L20">IF(Movies[[#This Row],[unit]:[unit]]="Billions",Movies[[#This Row],[budget]]*1000,Movies[[#This Row],[budget]])</f>
        <v>7.2</v>
      </c>
      <c r="M20" cm="1">
        <f t="array" ref="M20">IF(Movies[[#This Row],[unit]:[unit]]="Billions",Movies[[#This Row],[revenue]]*1000,Movies[[#This Row],[revenue]])</f>
        <v>291</v>
      </c>
      <c r="N20" cm="1">
        <f t="array" ref="N20">IF(Movies[[#This Row],[currency]:[currency]]="USD",Movies[[#This Row],[budget-mil]]*80,Movies[[#This Row],[budget-mil]])</f>
        <v>576</v>
      </c>
      <c r="O20" cm="1">
        <f t="array" ref="O20">IF(Movies[[#This Row],[currency]:[currency]]="USD",Movies[[#This Row],[revenue-mil]]*80,Movies[[#This Row],[revenue-mil]])</f>
        <v>23280</v>
      </c>
      <c r="P20" cm="1">
        <f t="array" ref="P20">IF(Movies[[#This Row],[currency]:[currency]]="INR",Movies[[#This Row],[budget-mil]]/80,Movies[[#This Row],[budget-mil]])</f>
        <v>7.2</v>
      </c>
      <c r="Q20" cm="1">
        <f t="array" ref="Q20">IF(Movies[[#This Row],[currency]:[currency]]="INR",Movies[[#This Row],[revenue-mil]]/80,Movies[[#This Row],[revenue-mil]])</f>
        <v>291</v>
      </c>
    </row>
    <row r="21" spans="1:17" x14ac:dyDescent="0.3">
      <c r="A21">
        <v>121</v>
      </c>
      <c r="B21" t="s">
        <v>136</v>
      </c>
      <c r="C21" t="s">
        <v>7</v>
      </c>
      <c r="D21">
        <v>2008</v>
      </c>
      <c r="E21">
        <v>9</v>
      </c>
      <c r="F21" t="s">
        <v>19</v>
      </c>
      <c r="G21">
        <v>5</v>
      </c>
      <c r="H21" cm="1">
        <f t="array" ref="H21">_xlfn.XLOOKUP(Movies[[#This Row],[movie_id]:[movie_id]],Financials[[#All],[movie_id]:[movie_id]],Financials[[#All],[budget]],"Not Available",0)</f>
        <v>185</v>
      </c>
      <c r="I21" cm="1">
        <f t="array" ref="I21">_xlfn.XLOOKUP(Movies[[#This Row],[movie_id]:[movie_id]],Financials[[#All],[movie_id]:[movie_id]],Financials[[#All],[revenue]],"Not Available",0)</f>
        <v>1006</v>
      </c>
      <c r="J21" t="str" cm="1">
        <f t="array" ref="J21">_xlfn.XLOOKUP(Movies[[#This Row],[movie_id]:[movie_id]],Financials[[#All],[movie_id]:[movie_id]],Financials[[#All],[unit]],"Not Available",0)</f>
        <v>Millions</v>
      </c>
      <c r="K21" t="str" cm="1">
        <f t="array" ref="K21">_xlfn.XLOOKUP(Movies[[#This Row],[movie_id]:[movie_id]],Financials[[#All],[movie_id]:[movie_id]],Financials[[#All],[currency]],"Not Available",0)</f>
        <v>USD</v>
      </c>
      <c r="L21" cm="1">
        <f t="array" ref="L21">IF(Movies[[#This Row],[unit]:[unit]]="Billions",Movies[[#This Row],[budget]]*1000,Movies[[#This Row],[budget]])</f>
        <v>185</v>
      </c>
      <c r="M21" cm="1">
        <f t="array" ref="M21">IF(Movies[[#This Row],[unit]:[unit]]="Billions",Movies[[#This Row],[revenue]]*1000,Movies[[#This Row],[revenue]])</f>
        <v>1006</v>
      </c>
      <c r="N21" cm="1">
        <f t="array" ref="N21">IF(Movies[[#This Row],[currency]:[currency]]="USD",Movies[[#This Row],[budget-mil]]*80,Movies[[#This Row],[budget-mil]])</f>
        <v>14800</v>
      </c>
      <c r="O21" cm="1">
        <f t="array" ref="O21">IF(Movies[[#This Row],[currency]:[currency]]="USD",Movies[[#This Row],[revenue-mil]]*80,Movies[[#This Row],[revenue-mil]])</f>
        <v>80480</v>
      </c>
      <c r="P21" cm="1">
        <f t="array" ref="P21">IF(Movies[[#This Row],[currency]:[currency]]="INR",Movies[[#This Row],[budget-mil]]/80,Movies[[#This Row],[budget-mil]])</f>
        <v>185</v>
      </c>
      <c r="Q21" cm="1">
        <f t="array" ref="Q21">IF(Movies[[#This Row],[currency]:[currency]]="INR",Movies[[#This Row],[revenue-mil]]/80,Movies[[#This Row],[revenue-mil]])</f>
        <v>1006</v>
      </c>
    </row>
    <row r="22" spans="1:17" x14ac:dyDescent="0.3">
      <c r="A22">
        <v>122</v>
      </c>
      <c r="B22" t="s">
        <v>137</v>
      </c>
      <c r="C22" t="s">
        <v>7</v>
      </c>
      <c r="D22">
        <v>1993</v>
      </c>
      <c r="E22">
        <v>9</v>
      </c>
      <c r="F22" t="s">
        <v>20</v>
      </c>
      <c r="G22">
        <v>5</v>
      </c>
      <c r="H22" cm="1">
        <f t="array" ref="H22">_xlfn.XLOOKUP(Movies[[#This Row],[movie_id]:[movie_id]],Financials[[#All],[movie_id]:[movie_id]],Financials[[#All],[budget]],"Not Available",0)</f>
        <v>22</v>
      </c>
      <c r="I22" cm="1">
        <f t="array" ref="I22">_xlfn.XLOOKUP(Movies[[#This Row],[movie_id]:[movie_id]],Financials[[#All],[movie_id]:[movie_id]],Financials[[#All],[revenue]],"Not Available",0)</f>
        <v>322.2</v>
      </c>
      <c r="J22" t="str" cm="1">
        <f t="array" ref="J22">_xlfn.XLOOKUP(Movies[[#This Row],[movie_id]:[movie_id]],Financials[[#All],[movie_id]:[movie_id]],Financials[[#All],[unit]],"Not Available",0)</f>
        <v>Millions</v>
      </c>
      <c r="K22" t="str" cm="1">
        <f t="array" ref="K22">_xlfn.XLOOKUP(Movies[[#This Row],[movie_id]:[movie_id]],Financials[[#All],[movie_id]:[movie_id]],Financials[[#All],[currency]],"Not Available",0)</f>
        <v>USD</v>
      </c>
      <c r="L22" cm="1">
        <f t="array" ref="L22">IF(Movies[[#This Row],[unit]:[unit]]="Billions",Movies[[#This Row],[budget]]*1000,Movies[[#This Row],[budget]])</f>
        <v>22</v>
      </c>
      <c r="M22" cm="1">
        <f t="array" ref="M22">IF(Movies[[#This Row],[unit]:[unit]]="Billions",Movies[[#This Row],[revenue]]*1000,Movies[[#This Row],[revenue]])</f>
        <v>322.2</v>
      </c>
      <c r="N22" cm="1">
        <f t="array" ref="N22">IF(Movies[[#This Row],[currency]:[currency]]="USD",Movies[[#This Row],[budget-mil]]*80,Movies[[#This Row],[budget-mil]])</f>
        <v>1760</v>
      </c>
      <c r="O22" cm="1">
        <f t="array" ref="O22">IF(Movies[[#This Row],[currency]:[currency]]="USD",Movies[[#This Row],[revenue-mil]]*80,Movies[[#This Row],[revenue-mil]])</f>
        <v>25776</v>
      </c>
      <c r="P22" cm="1">
        <f t="array" ref="P22">IF(Movies[[#This Row],[currency]:[currency]]="INR",Movies[[#This Row],[budget-mil]]/80,Movies[[#This Row],[budget-mil]])</f>
        <v>22</v>
      </c>
      <c r="Q22" cm="1">
        <f t="array" ref="Q22">IF(Movies[[#This Row],[currency]:[currency]]="INR",Movies[[#This Row],[revenue-mil]]/80,Movies[[#This Row],[revenue-mil]])</f>
        <v>322.2</v>
      </c>
    </row>
    <row r="23" spans="1:17" x14ac:dyDescent="0.3">
      <c r="A23">
        <v>123</v>
      </c>
      <c r="B23" t="s">
        <v>138</v>
      </c>
      <c r="C23" t="s">
        <v>7</v>
      </c>
      <c r="D23">
        <v>1993</v>
      </c>
      <c r="E23">
        <v>8.1999999999999993</v>
      </c>
      <c r="F23" t="s">
        <v>20</v>
      </c>
      <c r="G23">
        <v>5</v>
      </c>
      <c r="H23" cm="1">
        <f t="array" ref="H23">_xlfn.XLOOKUP(Movies[[#This Row],[movie_id]:[movie_id]],Financials[[#All],[movie_id]:[movie_id]],Financials[[#All],[budget]],"Not Available",0)</f>
        <v>63</v>
      </c>
      <c r="I23" cm="1">
        <f t="array" ref="I23">_xlfn.XLOOKUP(Movies[[#This Row],[movie_id]:[movie_id]],Financials[[#All],[movie_id]:[movie_id]],Financials[[#All],[revenue]],"Not Available",0)</f>
        <v>1046</v>
      </c>
      <c r="J23" t="str" cm="1">
        <f t="array" ref="J23">_xlfn.XLOOKUP(Movies[[#This Row],[movie_id]:[movie_id]],Financials[[#All],[movie_id]:[movie_id]],Financials[[#All],[unit]],"Not Available",0)</f>
        <v>Millions</v>
      </c>
      <c r="K23" t="str" cm="1">
        <f t="array" ref="K23">_xlfn.XLOOKUP(Movies[[#This Row],[movie_id]:[movie_id]],Financials[[#All],[movie_id]:[movie_id]],Financials[[#All],[currency]],"Not Available",0)</f>
        <v>USD</v>
      </c>
      <c r="L23" cm="1">
        <f t="array" ref="L23">IF(Movies[[#This Row],[unit]:[unit]]="Billions",Movies[[#This Row],[budget]]*1000,Movies[[#This Row],[budget]])</f>
        <v>63</v>
      </c>
      <c r="M23" cm="1">
        <f t="array" ref="M23">IF(Movies[[#This Row],[unit]:[unit]]="Billions",Movies[[#This Row],[revenue]]*1000,Movies[[#This Row],[revenue]])</f>
        <v>1046</v>
      </c>
      <c r="N23" cm="1">
        <f t="array" ref="N23">IF(Movies[[#This Row],[currency]:[currency]]="USD",Movies[[#This Row],[budget-mil]]*80,Movies[[#This Row],[budget-mil]])</f>
        <v>5040</v>
      </c>
      <c r="O23" cm="1">
        <f t="array" ref="O23">IF(Movies[[#This Row],[currency]:[currency]]="USD",Movies[[#This Row],[revenue-mil]]*80,Movies[[#This Row],[revenue-mil]])</f>
        <v>83680</v>
      </c>
      <c r="P23" cm="1">
        <f t="array" ref="P23">IF(Movies[[#This Row],[currency]:[currency]]="INR",Movies[[#This Row],[budget-mil]]/80,Movies[[#This Row],[budget-mil]])</f>
        <v>63</v>
      </c>
      <c r="Q23" cm="1">
        <f t="array" ref="Q23">IF(Movies[[#This Row],[currency]:[currency]]="INR",Movies[[#This Row],[revenue-mil]]/80,Movies[[#This Row],[revenue-mil]])</f>
        <v>1046</v>
      </c>
    </row>
    <row r="24" spans="1:17" x14ac:dyDescent="0.3">
      <c r="A24">
        <v>124</v>
      </c>
      <c r="B24" t="s">
        <v>139</v>
      </c>
      <c r="C24" t="s">
        <v>7</v>
      </c>
      <c r="D24">
        <v>2019</v>
      </c>
      <c r="E24">
        <v>8.5</v>
      </c>
      <c r="F24" t="s">
        <v>114</v>
      </c>
      <c r="G24">
        <v>5</v>
      </c>
      <c r="H24" cm="1">
        <f t="array" ref="H24">_xlfn.XLOOKUP(Movies[[#This Row],[movie_id]:[movie_id]],Financials[[#All],[movie_id]:[movie_id]],Financials[[#All],[budget]],"Not Available",0)</f>
        <v>15.5</v>
      </c>
      <c r="I24" cm="1">
        <f t="array" ref="I24">_xlfn.XLOOKUP(Movies[[#This Row],[movie_id]:[movie_id]],Financials[[#All],[movie_id]:[movie_id]],Financials[[#All],[revenue]],"Not Available",0)</f>
        <v>263.10000000000002</v>
      </c>
      <c r="J24" t="str" cm="1">
        <f t="array" ref="J24">_xlfn.XLOOKUP(Movies[[#This Row],[movie_id]:[movie_id]],Financials[[#All],[movie_id]:[movie_id]],Financials[[#All],[unit]],"Not Available",0)</f>
        <v>Millions</v>
      </c>
      <c r="K24" t="str" cm="1">
        <f t="array" ref="K24">_xlfn.XLOOKUP(Movies[[#This Row],[movie_id]:[movie_id]],Financials[[#All],[movie_id]:[movie_id]],Financials[[#All],[currency]],"Not Available",0)</f>
        <v>USD</v>
      </c>
      <c r="L24" cm="1">
        <f t="array" ref="L24">IF(Movies[[#This Row],[unit]:[unit]]="Billions",Movies[[#This Row],[budget]]*1000,Movies[[#This Row],[budget]])</f>
        <v>15.5</v>
      </c>
      <c r="M24" cm="1">
        <f t="array" ref="M24">IF(Movies[[#This Row],[unit]:[unit]]="Billions",Movies[[#This Row],[revenue]]*1000,Movies[[#This Row],[revenue]])</f>
        <v>263.10000000000002</v>
      </c>
      <c r="N24" cm="1">
        <f t="array" ref="N24">IF(Movies[[#This Row],[currency]:[currency]]="USD",Movies[[#This Row],[budget-mil]]*80,Movies[[#This Row],[budget-mil]])</f>
        <v>1240</v>
      </c>
      <c r="O24" cm="1">
        <f t="array" ref="O24">IF(Movies[[#This Row],[currency]:[currency]]="USD",Movies[[#This Row],[revenue-mil]]*80,Movies[[#This Row],[revenue-mil]])</f>
        <v>21048</v>
      </c>
      <c r="P24" cm="1">
        <f t="array" ref="P24">IF(Movies[[#This Row],[currency]:[currency]]="INR",Movies[[#This Row],[budget-mil]]/80,Movies[[#This Row],[budget-mil]])</f>
        <v>15.5</v>
      </c>
      <c r="Q24" cm="1">
        <f t="array" ref="Q24">IF(Movies[[#This Row],[currency]:[currency]]="INR",Movies[[#This Row],[revenue-mil]]/80,Movies[[#This Row],[revenue-mil]])</f>
        <v>263.10000000000002</v>
      </c>
    </row>
    <row r="25" spans="1:17" x14ac:dyDescent="0.3">
      <c r="A25">
        <v>125</v>
      </c>
      <c r="B25" t="s">
        <v>140</v>
      </c>
      <c r="C25" t="s">
        <v>7</v>
      </c>
      <c r="D25">
        <v>2019</v>
      </c>
      <c r="E25">
        <v>8.4</v>
      </c>
      <c r="F25" t="s">
        <v>8</v>
      </c>
      <c r="G25">
        <v>5</v>
      </c>
      <c r="H25" cm="1">
        <f t="array" ref="H25">_xlfn.XLOOKUP(Movies[[#This Row],[movie_id]:[movie_id]],Financials[[#All],[movie_id]:[movie_id]],Financials[[#All],[budget]],"Not Available",0)</f>
        <v>400</v>
      </c>
      <c r="I25" cm="1">
        <f t="array" ref="I25">_xlfn.XLOOKUP(Movies[[#This Row],[movie_id]:[movie_id]],Financials[[#All],[movie_id]:[movie_id]],Financials[[#All],[revenue]],"Not Available",0)</f>
        <v>2798</v>
      </c>
      <c r="J25" t="str" cm="1">
        <f t="array" ref="J25">_xlfn.XLOOKUP(Movies[[#This Row],[movie_id]:[movie_id]],Financials[[#All],[movie_id]:[movie_id]],Financials[[#All],[unit]],"Not Available",0)</f>
        <v>Millions</v>
      </c>
      <c r="K25" t="str" cm="1">
        <f t="array" ref="K25">_xlfn.XLOOKUP(Movies[[#This Row],[movie_id]:[movie_id]],Financials[[#All],[movie_id]:[movie_id]],Financials[[#All],[currency]],"Not Available",0)</f>
        <v>USD</v>
      </c>
      <c r="L25" cm="1">
        <f t="array" ref="L25">IF(Movies[[#This Row],[unit]:[unit]]="Billions",Movies[[#This Row],[budget]]*1000,Movies[[#This Row],[budget]])</f>
        <v>400</v>
      </c>
      <c r="M25" cm="1">
        <f t="array" ref="M25">IF(Movies[[#This Row],[unit]:[unit]]="Billions",Movies[[#This Row],[revenue]]*1000,Movies[[#This Row],[revenue]])</f>
        <v>2798</v>
      </c>
      <c r="N25" cm="1">
        <f t="array" ref="N25">IF(Movies[[#This Row],[currency]:[currency]]="USD",Movies[[#This Row],[budget-mil]]*80,Movies[[#This Row],[budget-mil]])</f>
        <v>32000</v>
      </c>
      <c r="O25" cm="1">
        <f t="array" ref="O25">IF(Movies[[#This Row],[currency]:[currency]]="USD",Movies[[#This Row],[revenue-mil]]*80,Movies[[#This Row],[revenue-mil]])</f>
        <v>223840</v>
      </c>
      <c r="P25" cm="1">
        <f t="array" ref="P25">IF(Movies[[#This Row],[currency]:[currency]]="INR",Movies[[#This Row],[budget-mil]]/80,Movies[[#This Row],[budget-mil]])</f>
        <v>400</v>
      </c>
      <c r="Q25" cm="1">
        <f t="array" ref="Q25">IF(Movies[[#This Row],[currency]:[currency]]="INR",Movies[[#This Row],[revenue-mil]]/80,Movies[[#This Row],[revenue-mil]])</f>
        <v>2798</v>
      </c>
    </row>
    <row r="26" spans="1:17" x14ac:dyDescent="0.3">
      <c r="A26">
        <v>126</v>
      </c>
      <c r="B26" t="s">
        <v>141</v>
      </c>
      <c r="C26" t="s">
        <v>7</v>
      </c>
      <c r="D26">
        <v>2018</v>
      </c>
      <c r="E26">
        <v>8.4</v>
      </c>
      <c r="F26" t="s">
        <v>8</v>
      </c>
      <c r="G26">
        <v>5</v>
      </c>
      <c r="H26" cm="1">
        <f t="array" ref="H26">_xlfn.XLOOKUP(Movies[[#This Row],[movie_id]:[movie_id]],Financials[[#All],[movie_id]:[movie_id]],Financials[[#All],[budget]],"Not Available",0)</f>
        <v>400</v>
      </c>
      <c r="I26" cm="1">
        <f t="array" ref="I26">_xlfn.XLOOKUP(Movies[[#This Row],[movie_id]:[movie_id]],Financials[[#All],[movie_id]:[movie_id]],Financials[[#All],[revenue]],"Not Available",0)</f>
        <v>2048</v>
      </c>
      <c r="J26" t="str" cm="1">
        <f t="array" ref="J26">_xlfn.XLOOKUP(Movies[[#This Row],[movie_id]:[movie_id]],Financials[[#All],[movie_id]:[movie_id]],Financials[[#All],[unit]],"Not Available",0)</f>
        <v>Millions</v>
      </c>
      <c r="K26" t="str" cm="1">
        <f t="array" ref="K26">_xlfn.XLOOKUP(Movies[[#This Row],[movie_id]:[movie_id]],Financials[[#All],[movie_id]:[movie_id]],Financials[[#All],[currency]],"Not Available",0)</f>
        <v>USD</v>
      </c>
      <c r="L26" cm="1">
        <f t="array" ref="L26">IF(Movies[[#This Row],[unit]:[unit]]="Billions",Movies[[#This Row],[budget]]*1000,Movies[[#This Row],[budget]])</f>
        <v>400</v>
      </c>
      <c r="M26" cm="1">
        <f t="array" ref="M26">IF(Movies[[#This Row],[unit]:[unit]]="Billions",Movies[[#This Row],[revenue]]*1000,Movies[[#This Row],[revenue]])</f>
        <v>2048</v>
      </c>
      <c r="N26" cm="1">
        <f t="array" ref="N26">IF(Movies[[#This Row],[currency]:[currency]]="USD",Movies[[#This Row],[budget-mil]]*80,Movies[[#This Row],[budget-mil]])</f>
        <v>32000</v>
      </c>
      <c r="O26" cm="1">
        <f t="array" ref="O26">IF(Movies[[#This Row],[currency]:[currency]]="USD",Movies[[#This Row],[revenue-mil]]*80,Movies[[#This Row],[revenue-mil]])</f>
        <v>163840</v>
      </c>
      <c r="P26" cm="1">
        <f t="array" ref="P26">IF(Movies[[#This Row],[currency]:[currency]]="INR",Movies[[#This Row],[budget-mil]]/80,Movies[[#This Row],[budget-mil]])</f>
        <v>400</v>
      </c>
      <c r="Q26" cm="1">
        <f t="array" ref="Q26">IF(Movies[[#This Row],[currency]:[currency]]="INR",Movies[[#This Row],[revenue-mil]]/80,Movies[[#This Row],[revenue-mil]])</f>
        <v>2048</v>
      </c>
    </row>
    <row r="27" spans="1:17" x14ac:dyDescent="0.3">
      <c r="A27">
        <v>127</v>
      </c>
      <c r="B27" t="s">
        <v>142</v>
      </c>
      <c r="C27" t="s">
        <v>6</v>
      </c>
      <c r="D27">
        <v>1955</v>
      </c>
      <c r="E27">
        <v>8.3000000000000007</v>
      </c>
      <c r="F27" t="s">
        <v>116</v>
      </c>
      <c r="G27">
        <v>7</v>
      </c>
      <c r="H27" cm="1">
        <f t="array" ref="H27">_xlfn.XLOOKUP(Movies[[#This Row],[movie_id]:[movie_id]],Financials[[#All],[movie_id]:[movie_id]],Financials[[#All],[budget]],"Not Available",0)</f>
        <v>70</v>
      </c>
      <c r="I27" cm="1">
        <f t="array" ref="I27">_xlfn.XLOOKUP(Movies[[#This Row],[movie_id]:[movie_id]],Financials[[#All],[movie_id]:[movie_id]],Financials[[#All],[revenue]],"Not Available",0)</f>
        <v>100</v>
      </c>
      <c r="J27" t="str" cm="1">
        <f t="array" ref="J27">_xlfn.XLOOKUP(Movies[[#This Row],[movie_id]:[movie_id]],Financials[[#All],[movie_id]:[movie_id]],Financials[[#All],[unit]],"Not Available",0)</f>
        <v>Millions</v>
      </c>
      <c r="K27" t="str" cm="1">
        <f t="array" ref="K27">_xlfn.XLOOKUP(Movies[[#This Row],[movie_id]:[movie_id]],Financials[[#All],[movie_id]:[movie_id]],Financials[[#All],[currency]],"Not Available",0)</f>
        <v>INR</v>
      </c>
      <c r="L27" cm="1">
        <f t="array" ref="L27">IF(Movies[[#This Row],[unit]:[unit]]="Billions",Movies[[#This Row],[budget]]*1000,Movies[[#This Row],[budget]])</f>
        <v>70</v>
      </c>
      <c r="M27" cm="1">
        <f t="array" ref="M27">IF(Movies[[#This Row],[unit]:[unit]]="Billions",Movies[[#This Row],[revenue]]*1000,Movies[[#This Row],[revenue]])</f>
        <v>100</v>
      </c>
      <c r="N27" cm="1">
        <f t="array" ref="N27">IF(Movies[[#This Row],[currency]:[currency]]="USD",Movies[[#This Row],[budget-mil]]*80,Movies[[#This Row],[budget-mil]])</f>
        <v>70</v>
      </c>
      <c r="O27" cm="1">
        <f t="array" ref="O27">IF(Movies[[#This Row],[currency]:[currency]]="USD",Movies[[#This Row],[revenue-mil]]*80,Movies[[#This Row],[revenue-mil]])</f>
        <v>100</v>
      </c>
      <c r="P27" cm="1">
        <f t="array" ref="P27">IF(Movies[[#This Row],[currency]:[currency]]="INR",Movies[[#This Row],[budget-mil]]/80,Movies[[#This Row],[budget-mil]])</f>
        <v>0.875</v>
      </c>
      <c r="Q27" cm="1">
        <f t="array" ref="Q27">IF(Movies[[#This Row],[currency]:[currency]]="INR",Movies[[#This Row],[revenue-mil]]/80,Movies[[#This Row],[revenue-mil]])</f>
        <v>1.25</v>
      </c>
    </row>
    <row r="28" spans="1:17" x14ac:dyDescent="0.3">
      <c r="A28">
        <v>128</v>
      </c>
      <c r="B28" t="s">
        <v>143</v>
      </c>
      <c r="C28" t="s">
        <v>6</v>
      </c>
      <c r="D28">
        <v>2007</v>
      </c>
      <c r="E28">
        <v>8.3000000000000007</v>
      </c>
      <c r="F28" t="s">
        <v>114</v>
      </c>
      <c r="G28">
        <v>1</v>
      </c>
      <c r="H28" cm="1">
        <f t="array" ref="H28">_xlfn.XLOOKUP(Movies[[#This Row],[movie_id]:[movie_id]],Financials[[#All],[movie_id]:[movie_id]],Financials[[#All],[budget]],"Not Available",0)</f>
        <v>120</v>
      </c>
      <c r="I28" cm="1">
        <f t="array" ref="I28">_xlfn.XLOOKUP(Movies[[#This Row],[movie_id]:[movie_id]],Financials[[#All],[movie_id]:[movie_id]],Financials[[#All],[revenue]],"Not Available",0)</f>
        <v>1350</v>
      </c>
      <c r="J28" t="str" cm="1">
        <f t="array" ref="J28">_xlfn.XLOOKUP(Movies[[#This Row],[movie_id]:[movie_id]],Financials[[#All],[movie_id]:[movie_id]],Financials[[#All],[unit]],"Not Available",0)</f>
        <v>Millions</v>
      </c>
      <c r="K28" t="str" cm="1">
        <f t="array" ref="K28">_xlfn.XLOOKUP(Movies[[#This Row],[movie_id]:[movie_id]],Financials[[#All],[movie_id]:[movie_id]],Financials[[#All],[currency]],"Not Available",0)</f>
        <v>INR</v>
      </c>
      <c r="L28" cm="1">
        <f t="array" ref="L28">IF(Movies[[#This Row],[unit]:[unit]]="Billions",Movies[[#This Row],[budget]]*1000,Movies[[#This Row],[budget]])</f>
        <v>120</v>
      </c>
      <c r="M28" cm="1">
        <f t="array" ref="M28">IF(Movies[[#This Row],[unit]:[unit]]="Billions",Movies[[#This Row],[revenue]]*1000,Movies[[#This Row],[revenue]])</f>
        <v>1350</v>
      </c>
      <c r="N28" cm="1">
        <f t="array" ref="N28">IF(Movies[[#This Row],[currency]:[currency]]="USD",Movies[[#This Row],[budget-mil]]*80,Movies[[#This Row],[budget-mil]])</f>
        <v>120</v>
      </c>
      <c r="O28" cm="1">
        <f t="array" ref="O28">IF(Movies[[#This Row],[currency]:[currency]]="USD",Movies[[#This Row],[revenue-mil]]*80,Movies[[#This Row],[revenue-mil]])</f>
        <v>1350</v>
      </c>
      <c r="P28" cm="1">
        <f t="array" ref="P28">IF(Movies[[#This Row],[currency]:[currency]]="INR",Movies[[#This Row],[budget-mil]]/80,Movies[[#This Row],[budget-mil]])</f>
        <v>1.5</v>
      </c>
      <c r="Q28" cm="1">
        <f t="array" ref="Q28">IF(Movies[[#This Row],[currency]:[currency]]="INR",Movies[[#This Row],[revenue-mil]]/80,Movies[[#This Row],[revenue-mil]])</f>
        <v>16.875</v>
      </c>
    </row>
    <row r="29" spans="1:17" x14ac:dyDescent="0.3">
      <c r="A29">
        <v>129</v>
      </c>
      <c r="B29" t="s">
        <v>144</v>
      </c>
      <c r="C29" t="s">
        <v>6</v>
      </c>
      <c r="D29">
        <v>2003</v>
      </c>
      <c r="E29">
        <v>8.1</v>
      </c>
      <c r="F29" t="s">
        <v>21</v>
      </c>
      <c r="G29">
        <v>1</v>
      </c>
      <c r="H29" cm="1">
        <f t="array" ref="H29">_xlfn.XLOOKUP(Movies[[#This Row],[movie_id]:[movie_id]],Financials[[#All],[movie_id]:[movie_id]],Financials[[#All],[budget]],"Not Available",0)</f>
        <v>100</v>
      </c>
      <c r="I29" cm="1">
        <f t="array" ref="I29">_xlfn.XLOOKUP(Movies[[#This Row],[movie_id]:[movie_id]],Financials[[#All],[movie_id]:[movie_id]],Financials[[#All],[revenue]],"Not Available",0)</f>
        <v>410</v>
      </c>
      <c r="J29" t="str" cm="1">
        <f t="array" ref="J29">_xlfn.XLOOKUP(Movies[[#This Row],[movie_id]:[movie_id]],Financials[[#All],[movie_id]:[movie_id]],Financials[[#All],[unit]],"Not Available",0)</f>
        <v>Millions</v>
      </c>
      <c r="K29" t="str" cm="1">
        <f t="array" ref="K29">_xlfn.XLOOKUP(Movies[[#This Row],[movie_id]:[movie_id]],Financials[[#All],[movie_id]:[movie_id]],Financials[[#All],[currency]],"Not Available",0)</f>
        <v>INR</v>
      </c>
      <c r="L29" cm="1">
        <f t="array" ref="L29">IF(Movies[[#This Row],[unit]:[unit]]="Billions",Movies[[#This Row],[budget]]*1000,Movies[[#This Row],[budget]])</f>
        <v>100</v>
      </c>
      <c r="M29" cm="1">
        <f t="array" ref="M29">IF(Movies[[#This Row],[unit]:[unit]]="Billions",Movies[[#This Row],[revenue]]*1000,Movies[[#This Row],[revenue]])</f>
        <v>410</v>
      </c>
      <c r="N29" cm="1">
        <f t="array" ref="N29">IF(Movies[[#This Row],[currency]:[currency]]="USD",Movies[[#This Row],[budget-mil]]*80,Movies[[#This Row],[budget-mil]])</f>
        <v>100</v>
      </c>
      <c r="O29" cm="1">
        <f t="array" ref="O29">IF(Movies[[#This Row],[currency]:[currency]]="USD",Movies[[#This Row],[revenue-mil]]*80,Movies[[#This Row],[revenue-mil]])</f>
        <v>410</v>
      </c>
      <c r="P29" cm="1">
        <f t="array" ref="P29">IF(Movies[[#This Row],[currency]:[currency]]="INR",Movies[[#This Row],[budget-mil]]/80,Movies[[#This Row],[budget-mil]])</f>
        <v>1.25</v>
      </c>
      <c r="Q29" cm="1">
        <f t="array" ref="Q29">IF(Movies[[#This Row],[currency]:[currency]]="INR",Movies[[#This Row],[revenue-mil]]/80,Movies[[#This Row],[revenue-mil]])</f>
        <v>5.125</v>
      </c>
    </row>
    <row r="30" spans="1:17" x14ac:dyDescent="0.3">
      <c r="A30">
        <v>130</v>
      </c>
      <c r="B30" t="s">
        <v>145</v>
      </c>
      <c r="C30" t="s">
        <v>6</v>
      </c>
      <c r="D30">
        <v>2014</v>
      </c>
      <c r="E30">
        <v>8.1</v>
      </c>
      <c r="F30" t="s">
        <v>11</v>
      </c>
      <c r="G30">
        <v>1</v>
      </c>
      <c r="H30" cm="1">
        <f t="array" ref="H30">_xlfn.XLOOKUP(Movies[[#This Row],[movie_id]:[movie_id]],Financials[[#All],[movie_id]:[movie_id]],Financials[[#All],[budget]],"Not Available",0)</f>
        <v>850</v>
      </c>
      <c r="I30" cm="1">
        <f t="array" ref="I30">_xlfn.XLOOKUP(Movies[[#This Row],[movie_id]:[movie_id]],Financials[[#All],[movie_id]:[movie_id]],Financials[[#All],[revenue]],"Not Available",0)</f>
        <v>8540</v>
      </c>
      <c r="J30" t="str" cm="1">
        <f t="array" ref="J30">_xlfn.XLOOKUP(Movies[[#This Row],[movie_id]:[movie_id]],Financials[[#All],[movie_id]:[movie_id]],Financials[[#All],[unit]],"Not Available",0)</f>
        <v>Millions</v>
      </c>
      <c r="K30" t="str" cm="1">
        <f t="array" ref="K30">_xlfn.XLOOKUP(Movies[[#This Row],[movie_id]:[movie_id]],Financials[[#All],[movie_id]:[movie_id]],Financials[[#All],[currency]],"Not Available",0)</f>
        <v>INR</v>
      </c>
      <c r="L30" cm="1">
        <f t="array" ref="L30">IF(Movies[[#This Row],[unit]:[unit]]="Billions",Movies[[#This Row],[budget]]*1000,Movies[[#This Row],[budget]])</f>
        <v>850</v>
      </c>
      <c r="M30" cm="1">
        <f t="array" ref="M30">IF(Movies[[#This Row],[unit]:[unit]]="Billions",Movies[[#This Row],[revenue]]*1000,Movies[[#This Row],[revenue]])</f>
        <v>8540</v>
      </c>
      <c r="N30" cm="1">
        <f t="array" ref="N30">IF(Movies[[#This Row],[currency]:[currency]]="USD",Movies[[#This Row],[budget-mil]]*80,Movies[[#This Row],[budget-mil]])</f>
        <v>850</v>
      </c>
      <c r="O30" cm="1">
        <f t="array" ref="O30">IF(Movies[[#This Row],[currency]:[currency]]="USD",Movies[[#This Row],[revenue-mil]]*80,Movies[[#This Row],[revenue-mil]])</f>
        <v>8540</v>
      </c>
      <c r="P30" cm="1">
        <f t="array" ref="P30">IF(Movies[[#This Row],[currency]:[currency]]="INR",Movies[[#This Row],[budget-mil]]/80,Movies[[#This Row],[budget-mil]])</f>
        <v>10.625</v>
      </c>
      <c r="Q30" cm="1">
        <f t="array" ref="Q30">IF(Movies[[#This Row],[currency]:[currency]]="INR",Movies[[#This Row],[revenue-mil]]/80,Movies[[#This Row],[revenue-mil]])</f>
        <v>106.75</v>
      </c>
    </row>
    <row r="31" spans="1:17" x14ac:dyDescent="0.3">
      <c r="A31">
        <v>131</v>
      </c>
      <c r="B31" t="s">
        <v>146</v>
      </c>
      <c r="C31" t="s">
        <v>6</v>
      </c>
      <c r="D31">
        <v>2018</v>
      </c>
      <c r="E31" t="s">
        <v>113</v>
      </c>
      <c r="F31" t="s">
        <v>11</v>
      </c>
      <c r="G31">
        <v>1</v>
      </c>
      <c r="H31" cm="1">
        <f t="array" ref="H31">_xlfn.XLOOKUP(Movies[[#This Row],[movie_id]:[movie_id]],Financials[[#All],[movie_id]:[movie_id]],Financials[[#All],[budget]],"Not Available",0)</f>
        <v>1</v>
      </c>
      <c r="I31" cm="1">
        <f t="array" ref="I31">_xlfn.XLOOKUP(Movies[[#This Row],[movie_id]:[movie_id]],Financials[[#All],[movie_id]:[movie_id]],Financials[[#All],[revenue]],"Not Available",0)</f>
        <v>5.9</v>
      </c>
      <c r="J31" t="str" cm="1">
        <f t="array" ref="J31">_xlfn.XLOOKUP(Movies[[#This Row],[movie_id]:[movie_id]],Financials[[#All],[movie_id]:[movie_id]],Financials[[#All],[unit]],"Not Available",0)</f>
        <v>Billions</v>
      </c>
      <c r="K31" t="str" cm="1">
        <f t="array" ref="K31">_xlfn.XLOOKUP(Movies[[#This Row],[movie_id]:[movie_id]],Financials[[#All],[movie_id]:[movie_id]],Financials[[#All],[currency]],"Not Available",0)</f>
        <v>INR</v>
      </c>
      <c r="L31" cm="1">
        <f t="array" ref="L31">IF(Movies[[#This Row],[unit]:[unit]]="Billions",Movies[[#This Row],[budget]]*1000,Movies[[#This Row],[budget]])</f>
        <v>1000</v>
      </c>
      <c r="M31" cm="1">
        <f t="array" ref="M31">IF(Movies[[#This Row],[unit]:[unit]]="Billions",Movies[[#This Row],[revenue]]*1000,Movies[[#This Row],[revenue]])</f>
        <v>5900</v>
      </c>
      <c r="N31" cm="1">
        <f t="array" ref="N31">IF(Movies[[#This Row],[currency]:[currency]]="USD",Movies[[#This Row],[budget-mil]]*80,Movies[[#This Row],[budget-mil]])</f>
        <v>1000</v>
      </c>
      <c r="O31" cm="1">
        <f t="array" ref="O31">IF(Movies[[#This Row],[currency]:[currency]]="USD",Movies[[#This Row],[revenue-mil]]*80,Movies[[#This Row],[revenue-mil]])</f>
        <v>5900</v>
      </c>
      <c r="P31" cm="1">
        <f t="array" ref="P31">IF(Movies[[#This Row],[currency]:[currency]]="INR",Movies[[#This Row],[budget-mil]]/80,Movies[[#This Row],[budget-mil]])</f>
        <v>12.5</v>
      </c>
      <c r="Q31" cm="1">
        <f t="array" ref="Q31">IF(Movies[[#This Row],[currency]:[currency]]="INR",Movies[[#This Row],[revenue-mil]]/80,Movies[[#This Row],[revenue-mil]])</f>
        <v>73.75</v>
      </c>
    </row>
    <row r="32" spans="1:17" x14ac:dyDescent="0.3">
      <c r="A32">
        <v>132</v>
      </c>
      <c r="B32" t="s">
        <v>147</v>
      </c>
      <c r="C32" t="s">
        <v>6</v>
      </c>
      <c r="D32">
        <v>2021</v>
      </c>
      <c r="E32">
        <v>7.6</v>
      </c>
      <c r="F32" t="s">
        <v>22</v>
      </c>
      <c r="G32">
        <v>2</v>
      </c>
      <c r="H32" cm="1">
        <f t="array" ref="H32">_xlfn.XLOOKUP(Movies[[#This Row],[movie_id]:[movie_id]],Financials[[#All],[movie_id]:[movie_id]],Financials[[#All],[budget]],"Not Available",0)</f>
        <v>2</v>
      </c>
      <c r="I32" cm="1">
        <f t="array" ref="I32">_xlfn.XLOOKUP(Movies[[#This Row],[movie_id]:[movie_id]],Financials[[#All],[movie_id]:[movie_id]],Financials[[#All],[revenue]],"Not Available",0)</f>
        <v>3.6</v>
      </c>
      <c r="J32" t="str" cm="1">
        <f t="array" ref="J32">_xlfn.XLOOKUP(Movies[[#This Row],[movie_id]:[movie_id]],Financials[[#All],[movie_id]:[movie_id]],Financials[[#All],[unit]],"Not Available",0)</f>
        <v>Billions</v>
      </c>
      <c r="K32" t="str" cm="1">
        <f t="array" ref="K32">_xlfn.XLOOKUP(Movies[[#This Row],[movie_id]:[movie_id]],Financials[[#All],[movie_id]:[movie_id]],Financials[[#All],[currency]],"Not Available",0)</f>
        <v>INR</v>
      </c>
      <c r="L32" cm="1">
        <f t="array" ref="L32">IF(Movies[[#This Row],[unit]:[unit]]="Billions",Movies[[#This Row],[budget]]*1000,Movies[[#This Row],[budget]])</f>
        <v>2000</v>
      </c>
      <c r="M32" cm="1">
        <f t="array" ref="M32">IF(Movies[[#This Row],[unit]:[unit]]="Billions",Movies[[#This Row],[revenue]]*1000,Movies[[#This Row],[revenue]])</f>
        <v>3600</v>
      </c>
      <c r="N32" cm="1">
        <f t="array" ref="N32">IF(Movies[[#This Row],[currency]:[currency]]="USD",Movies[[#This Row],[budget-mil]]*80,Movies[[#This Row],[budget-mil]])</f>
        <v>2000</v>
      </c>
      <c r="O32" cm="1">
        <f t="array" ref="O32">IF(Movies[[#This Row],[currency]:[currency]]="USD",Movies[[#This Row],[revenue-mil]]*80,Movies[[#This Row],[revenue-mil]])</f>
        <v>3600</v>
      </c>
      <c r="P32" cm="1">
        <f t="array" ref="P32">IF(Movies[[#This Row],[currency]:[currency]]="INR",Movies[[#This Row],[budget-mil]]/80,Movies[[#This Row],[budget-mil]])</f>
        <v>25</v>
      </c>
      <c r="Q32" cm="1">
        <f t="array" ref="Q32">IF(Movies[[#This Row],[currency]:[currency]]="INR",Movies[[#This Row],[revenue-mil]]/80,Movies[[#This Row],[revenue-mil]])</f>
        <v>45</v>
      </c>
    </row>
    <row r="33" spans="1:17" x14ac:dyDescent="0.3">
      <c r="A33">
        <v>133</v>
      </c>
      <c r="B33" t="s">
        <v>148</v>
      </c>
      <c r="C33" t="s">
        <v>6</v>
      </c>
      <c r="D33">
        <v>2022</v>
      </c>
      <c r="E33">
        <v>8</v>
      </c>
      <c r="F33" t="s">
        <v>23</v>
      </c>
      <c r="G33">
        <v>2</v>
      </c>
      <c r="H33" cm="1">
        <f t="array" ref="H33">_xlfn.XLOOKUP(Movies[[#This Row],[movie_id]:[movie_id]],Financials[[#All],[movie_id]:[movie_id]],Financials[[#All],[budget]],"Not Available",0)</f>
        <v>5.5</v>
      </c>
      <c r="I33" cm="1">
        <f t="array" ref="I33">_xlfn.XLOOKUP(Movies[[#This Row],[movie_id]:[movie_id]],Financials[[#All],[movie_id]:[movie_id]],Financials[[#All],[revenue]],"Not Available",0)</f>
        <v>12</v>
      </c>
      <c r="J33" t="str" cm="1">
        <f t="array" ref="J33">_xlfn.XLOOKUP(Movies[[#This Row],[movie_id]:[movie_id]],Financials[[#All],[movie_id]:[movie_id]],Financials[[#All],[unit]],"Not Available",0)</f>
        <v>Billions</v>
      </c>
      <c r="K33" t="str" cm="1">
        <f t="array" ref="K33">_xlfn.XLOOKUP(Movies[[#This Row],[movie_id]:[movie_id]],Financials[[#All],[movie_id]:[movie_id]],Financials[[#All],[currency]],"Not Available",0)</f>
        <v>INR</v>
      </c>
      <c r="L33" cm="1">
        <f t="array" ref="L33">IF(Movies[[#This Row],[unit]:[unit]]="Billions",Movies[[#This Row],[budget]]*1000,Movies[[#This Row],[budget]])</f>
        <v>5500</v>
      </c>
      <c r="M33" cm="1">
        <f t="array" ref="M33">IF(Movies[[#This Row],[unit]:[unit]]="Billions",Movies[[#This Row],[revenue]]*1000,Movies[[#This Row],[revenue]])</f>
        <v>12000</v>
      </c>
      <c r="N33" cm="1">
        <f t="array" ref="N33">IF(Movies[[#This Row],[currency]:[currency]]="USD",Movies[[#This Row],[budget-mil]]*80,Movies[[#This Row],[budget-mil]])</f>
        <v>5500</v>
      </c>
      <c r="O33" cm="1">
        <f t="array" ref="O33">IF(Movies[[#This Row],[currency]:[currency]]="USD",Movies[[#This Row],[revenue-mil]]*80,Movies[[#This Row],[revenue-mil]])</f>
        <v>12000</v>
      </c>
      <c r="P33" cm="1">
        <f t="array" ref="P33">IF(Movies[[#This Row],[currency]:[currency]]="INR",Movies[[#This Row],[budget-mil]]/80,Movies[[#This Row],[budget-mil]])</f>
        <v>68.75</v>
      </c>
      <c r="Q33" cm="1">
        <f t="array" ref="Q33">IF(Movies[[#This Row],[currency]:[currency]]="INR",Movies[[#This Row],[revenue-mil]]/80,Movies[[#This Row],[revenue-mil]])</f>
        <v>150</v>
      </c>
    </row>
    <row r="34" spans="1:17" x14ac:dyDescent="0.3">
      <c r="A34">
        <v>134</v>
      </c>
      <c r="B34" t="s">
        <v>149</v>
      </c>
      <c r="C34" t="s">
        <v>6</v>
      </c>
      <c r="D34">
        <v>2015</v>
      </c>
      <c r="E34">
        <v>8</v>
      </c>
      <c r="F34" t="s">
        <v>24</v>
      </c>
      <c r="G34">
        <v>2</v>
      </c>
      <c r="H34" cm="1">
        <f t="array" ref="H34">_xlfn.XLOOKUP(Movies[[#This Row],[movie_id]:[movie_id]],Financials[[#All],[movie_id]:[movie_id]],Financials[[#All],[budget]],"Not Available",0)</f>
        <v>1.8</v>
      </c>
      <c r="I34" cm="1">
        <f t="array" ref="I34">_xlfn.XLOOKUP(Movies[[#This Row],[movie_id]:[movie_id]],Financials[[#All],[movie_id]:[movie_id]],Financials[[#All],[revenue]],"Not Available",0)</f>
        <v>6.5</v>
      </c>
      <c r="J34" t="str" cm="1">
        <f t="array" ref="J34">_xlfn.XLOOKUP(Movies[[#This Row],[movie_id]:[movie_id]],Financials[[#All],[movie_id]:[movie_id]],Financials[[#All],[unit]],"Not Available",0)</f>
        <v>Billions</v>
      </c>
      <c r="K34" t="str" cm="1">
        <f t="array" ref="K34">_xlfn.XLOOKUP(Movies[[#This Row],[movie_id]:[movie_id]],Financials[[#All],[movie_id]:[movie_id]],Financials[[#All],[currency]],"Not Available",0)</f>
        <v>INR</v>
      </c>
      <c r="L34" cm="1">
        <f t="array" ref="L34">IF(Movies[[#This Row],[unit]:[unit]]="Billions",Movies[[#This Row],[budget]]*1000,Movies[[#This Row],[budget]])</f>
        <v>1800</v>
      </c>
      <c r="M34" cm="1">
        <f t="array" ref="M34">IF(Movies[[#This Row],[unit]:[unit]]="Billions",Movies[[#This Row],[revenue]]*1000,Movies[[#This Row],[revenue]])</f>
        <v>6500</v>
      </c>
      <c r="N34" cm="1">
        <f t="array" ref="N34">IF(Movies[[#This Row],[currency]:[currency]]="USD",Movies[[#This Row],[budget-mil]]*80,Movies[[#This Row],[budget-mil]])</f>
        <v>1800</v>
      </c>
      <c r="O34" cm="1">
        <f t="array" ref="O34">IF(Movies[[#This Row],[currency]:[currency]]="USD",Movies[[#This Row],[revenue-mil]]*80,Movies[[#This Row],[revenue-mil]])</f>
        <v>6500</v>
      </c>
      <c r="P34" cm="1">
        <f t="array" ref="P34">IF(Movies[[#This Row],[currency]:[currency]]="INR",Movies[[#This Row],[budget-mil]]/80,Movies[[#This Row],[budget-mil]])</f>
        <v>22.5</v>
      </c>
      <c r="Q34" cm="1">
        <f t="array" ref="Q34">IF(Movies[[#This Row],[currency]:[currency]]="INR",Movies[[#This Row],[revenue-mil]]/80,Movies[[#This Row],[revenue-mil]])</f>
        <v>81.25</v>
      </c>
    </row>
    <row r="35" spans="1:17" x14ac:dyDescent="0.3">
      <c r="A35">
        <v>135</v>
      </c>
      <c r="B35" t="s">
        <v>150</v>
      </c>
      <c r="C35" t="s">
        <v>6</v>
      </c>
      <c r="D35">
        <v>2022</v>
      </c>
      <c r="E35">
        <v>8.3000000000000007</v>
      </c>
      <c r="F35" t="s">
        <v>25</v>
      </c>
      <c r="G35">
        <v>1</v>
      </c>
      <c r="H35" cm="1">
        <f t="array" ref="H35">_xlfn.XLOOKUP(Movies[[#This Row],[movie_id]:[movie_id]],Financials[[#All],[movie_id]:[movie_id]],Financials[[#All],[budget]],"Not Available",0)</f>
        <v>250</v>
      </c>
      <c r="I35" cm="1">
        <f t="array" ref="I35">_xlfn.XLOOKUP(Movies[[#This Row],[movie_id]:[movie_id]],Financials[[#All],[movie_id]:[movie_id]],Financials[[#All],[revenue]],"Not Available",0)</f>
        <v>3409</v>
      </c>
      <c r="J35" t="str" cm="1">
        <f t="array" ref="J35">_xlfn.XLOOKUP(Movies[[#This Row],[movie_id]:[movie_id]],Financials[[#All],[movie_id]:[movie_id]],Financials[[#All],[unit]],"Not Available",0)</f>
        <v>Millions</v>
      </c>
      <c r="K35" t="str" cm="1">
        <f t="array" ref="K35">_xlfn.XLOOKUP(Movies[[#This Row],[movie_id]:[movie_id]],Financials[[#All],[movie_id]:[movie_id]],Financials[[#All],[currency]],"Not Available",0)</f>
        <v>INR</v>
      </c>
      <c r="L35" cm="1">
        <f t="array" ref="L35">IF(Movies[[#This Row],[unit]:[unit]]="Billions",Movies[[#This Row],[budget]]*1000,Movies[[#This Row],[budget]])</f>
        <v>250</v>
      </c>
      <c r="M35" cm="1">
        <f t="array" ref="M35">IF(Movies[[#This Row],[unit]:[unit]]="Billions",Movies[[#This Row],[revenue]]*1000,Movies[[#This Row],[revenue]])</f>
        <v>3409</v>
      </c>
      <c r="N35" cm="1">
        <f t="array" ref="N35">IF(Movies[[#This Row],[currency]:[currency]]="USD",Movies[[#This Row],[budget-mil]]*80,Movies[[#This Row],[budget-mil]])</f>
        <v>250</v>
      </c>
      <c r="O35" cm="1">
        <f t="array" ref="O35">IF(Movies[[#This Row],[currency]:[currency]]="USD",Movies[[#This Row],[revenue-mil]]*80,Movies[[#This Row],[revenue-mil]])</f>
        <v>3409</v>
      </c>
      <c r="P35" cm="1">
        <f t="array" ref="P35">IF(Movies[[#This Row],[currency]:[currency]]="INR",Movies[[#This Row],[budget-mil]]/80,Movies[[#This Row],[budget-mil]])</f>
        <v>3.125</v>
      </c>
      <c r="Q35" cm="1">
        <f t="array" ref="Q35">IF(Movies[[#This Row],[currency]:[currency]]="INR",Movies[[#This Row],[revenue-mil]]/80,Movies[[#This Row],[revenue-mil]])</f>
        <v>42.612499999999997</v>
      </c>
    </row>
    <row r="36" spans="1:17" x14ac:dyDescent="0.3">
      <c r="A36">
        <v>136</v>
      </c>
      <c r="B36" t="s">
        <v>151</v>
      </c>
      <c r="C36" t="s">
        <v>6</v>
      </c>
      <c r="D36">
        <v>2015</v>
      </c>
      <c r="E36">
        <v>8.1</v>
      </c>
      <c r="F36" t="s">
        <v>26</v>
      </c>
      <c r="G36">
        <v>1</v>
      </c>
      <c r="H36" cm="1">
        <f t="array" ref="H36">_xlfn.XLOOKUP(Movies[[#This Row],[movie_id]:[movie_id]],Financials[[#All],[movie_id]:[movie_id]],Financials[[#All],[budget]],"Not Available",0)</f>
        <v>900</v>
      </c>
      <c r="I36" cm="1">
        <f t="array" ref="I36">_xlfn.XLOOKUP(Movies[[#This Row],[movie_id]:[movie_id]],Financials[[#All],[movie_id]:[movie_id]],Financials[[#All],[revenue]],"Not Available",0)</f>
        <v>11690</v>
      </c>
      <c r="J36" t="str" cm="1">
        <f t="array" ref="J36">_xlfn.XLOOKUP(Movies[[#This Row],[movie_id]:[movie_id]],Financials[[#All],[movie_id]:[movie_id]],Financials[[#All],[unit]],"Not Available",0)</f>
        <v>Millions</v>
      </c>
      <c r="K36" t="str" cm="1">
        <f t="array" ref="K36">_xlfn.XLOOKUP(Movies[[#This Row],[movie_id]:[movie_id]],Financials[[#All],[movie_id]:[movie_id]],Financials[[#All],[currency]],"Not Available",0)</f>
        <v>INR</v>
      </c>
      <c r="L36" cm="1">
        <f t="array" ref="L36">IF(Movies[[#This Row],[unit]:[unit]]="Billions",Movies[[#This Row],[budget]]*1000,Movies[[#This Row],[budget]])</f>
        <v>900</v>
      </c>
      <c r="M36" cm="1">
        <f t="array" ref="M36">IF(Movies[[#This Row],[unit]:[unit]]="Billions",Movies[[#This Row],[revenue]]*1000,Movies[[#This Row],[revenue]])</f>
        <v>11690</v>
      </c>
      <c r="N36" cm="1">
        <f t="array" ref="N36">IF(Movies[[#This Row],[currency]:[currency]]="USD",Movies[[#This Row],[budget-mil]]*80,Movies[[#This Row],[budget-mil]])</f>
        <v>900</v>
      </c>
      <c r="O36" cm="1">
        <f t="array" ref="O36">IF(Movies[[#This Row],[currency]:[currency]]="USD",Movies[[#This Row],[revenue-mil]]*80,Movies[[#This Row],[revenue-mil]])</f>
        <v>11690</v>
      </c>
      <c r="P36" cm="1">
        <f t="array" ref="P36">IF(Movies[[#This Row],[currency]:[currency]]="INR",Movies[[#This Row],[budget-mil]]/80,Movies[[#This Row],[budget-mil]])</f>
        <v>11.25</v>
      </c>
      <c r="Q36" cm="1">
        <f t="array" ref="Q36">IF(Movies[[#This Row],[currency]:[currency]]="INR",Movies[[#This Row],[revenue-mil]]/80,Movies[[#This Row],[revenue-mil]])</f>
        <v>146.125</v>
      </c>
    </row>
    <row r="37" spans="1:17" x14ac:dyDescent="0.3">
      <c r="A37">
        <v>137</v>
      </c>
      <c r="B37" t="s">
        <v>152</v>
      </c>
      <c r="C37" t="s">
        <v>7</v>
      </c>
      <c r="D37">
        <v>2011</v>
      </c>
      <c r="E37">
        <v>6.9</v>
      </c>
      <c r="F37" t="s">
        <v>8</v>
      </c>
      <c r="G37">
        <v>5</v>
      </c>
      <c r="H37" cm="1">
        <f t="array" ref="H37">_xlfn.XLOOKUP(Movies[[#This Row],[movie_id]:[movie_id]],Financials[[#All],[movie_id]:[movie_id]],Financials[[#All],[budget]],"Not Available",0)</f>
        <v>216.7</v>
      </c>
      <c r="I37" cm="1">
        <f t="array" ref="I37">_xlfn.XLOOKUP(Movies[[#This Row],[movie_id]:[movie_id]],Financials[[#All],[movie_id]:[movie_id]],Financials[[#All],[revenue]],"Not Available",0)</f>
        <v>370.6</v>
      </c>
      <c r="J37" t="str" cm="1">
        <f t="array" ref="J37">_xlfn.XLOOKUP(Movies[[#This Row],[movie_id]:[movie_id]],Financials[[#All],[movie_id]:[movie_id]],Financials[[#All],[unit]],"Not Available",0)</f>
        <v>Millions</v>
      </c>
      <c r="K37" t="str" cm="1">
        <f t="array" ref="K37">_xlfn.XLOOKUP(Movies[[#This Row],[movie_id]:[movie_id]],Financials[[#All],[movie_id]:[movie_id]],Financials[[#All],[currency]],"Not Available",0)</f>
        <v>USD</v>
      </c>
      <c r="L37" cm="1">
        <f t="array" ref="L37">IF(Movies[[#This Row],[unit]:[unit]]="Billions",Movies[[#This Row],[budget]]*1000,Movies[[#This Row],[budget]])</f>
        <v>216.7</v>
      </c>
      <c r="M37" cm="1">
        <f t="array" ref="M37">IF(Movies[[#This Row],[unit]:[unit]]="Billions",Movies[[#This Row],[revenue]]*1000,Movies[[#This Row],[revenue]])</f>
        <v>370.6</v>
      </c>
      <c r="N37" cm="1">
        <f t="array" ref="N37">IF(Movies[[#This Row],[currency]:[currency]]="USD",Movies[[#This Row],[budget-mil]]*80,Movies[[#This Row],[budget-mil]])</f>
        <v>17336</v>
      </c>
      <c r="O37" cm="1">
        <f t="array" ref="O37">IF(Movies[[#This Row],[currency]:[currency]]="USD",Movies[[#This Row],[revenue-mil]]*80,Movies[[#This Row],[revenue-mil]])</f>
        <v>29648</v>
      </c>
      <c r="P37" cm="1">
        <f t="array" ref="P37">IF(Movies[[#This Row],[currency]:[currency]]="INR",Movies[[#This Row],[budget-mil]]/80,Movies[[#This Row],[budget-mil]])</f>
        <v>216.7</v>
      </c>
      <c r="Q37" cm="1">
        <f t="array" ref="Q37">IF(Movies[[#This Row],[currency]:[currency]]="INR",Movies[[#This Row],[revenue-mil]]/80,Movies[[#This Row],[revenue-mil]])</f>
        <v>370.6</v>
      </c>
    </row>
    <row r="38" spans="1:17" x14ac:dyDescent="0.3">
      <c r="A38">
        <v>138</v>
      </c>
      <c r="B38" t="s">
        <v>153</v>
      </c>
      <c r="C38" t="s">
        <v>7</v>
      </c>
      <c r="D38">
        <v>2014</v>
      </c>
      <c r="E38">
        <v>7.8</v>
      </c>
      <c r="F38" t="s">
        <v>8</v>
      </c>
      <c r="G38">
        <v>5</v>
      </c>
      <c r="H38" cm="1">
        <f t="array" ref="H38">_xlfn.XLOOKUP(Movies[[#This Row],[movie_id]:[movie_id]],Financials[[#All],[movie_id]:[movie_id]],Financials[[#All],[budget]],"Not Available",0)</f>
        <v>177</v>
      </c>
      <c r="I38" cm="1">
        <f t="array" ref="I38">_xlfn.XLOOKUP(Movies[[#This Row],[movie_id]:[movie_id]],Financials[[#All],[movie_id]:[movie_id]],Financials[[#All],[revenue]],"Not Available",0)</f>
        <v>714.4</v>
      </c>
      <c r="J38" t="str" cm="1">
        <f t="array" ref="J38">_xlfn.XLOOKUP(Movies[[#This Row],[movie_id]:[movie_id]],Financials[[#All],[movie_id]:[movie_id]],Financials[[#All],[unit]],"Not Available",0)</f>
        <v>Millions</v>
      </c>
      <c r="K38" t="str" cm="1">
        <f t="array" ref="K38">_xlfn.XLOOKUP(Movies[[#This Row],[movie_id]:[movie_id]],Financials[[#All],[movie_id]:[movie_id]],Financials[[#All],[currency]],"Not Available",0)</f>
        <v>USD</v>
      </c>
      <c r="L38" cm="1">
        <f t="array" ref="L38">IF(Movies[[#This Row],[unit]:[unit]]="Billions",Movies[[#This Row],[budget]]*1000,Movies[[#This Row],[budget]])</f>
        <v>177</v>
      </c>
      <c r="M38" cm="1">
        <f t="array" ref="M38">IF(Movies[[#This Row],[unit]:[unit]]="Billions",Movies[[#This Row],[revenue]]*1000,Movies[[#This Row],[revenue]])</f>
        <v>714.4</v>
      </c>
      <c r="N38" cm="1">
        <f t="array" ref="N38">IF(Movies[[#This Row],[currency]:[currency]]="USD",Movies[[#This Row],[budget-mil]]*80,Movies[[#This Row],[budget-mil]])</f>
        <v>14160</v>
      </c>
      <c r="O38" cm="1">
        <f t="array" ref="O38">IF(Movies[[#This Row],[currency]:[currency]]="USD",Movies[[#This Row],[revenue-mil]]*80,Movies[[#This Row],[revenue-mil]])</f>
        <v>57152</v>
      </c>
      <c r="P38" cm="1">
        <f t="array" ref="P38">IF(Movies[[#This Row],[currency]:[currency]]="INR",Movies[[#This Row],[budget-mil]]/80,Movies[[#This Row],[budget-mil]])</f>
        <v>177</v>
      </c>
      <c r="Q38" cm="1">
        <f t="array" ref="Q38">IF(Movies[[#This Row],[currency]:[currency]]="INR",Movies[[#This Row],[revenue-mil]]/80,Movies[[#This Row],[revenue-mil]])</f>
        <v>714.4</v>
      </c>
    </row>
    <row r="39" spans="1:17" x14ac:dyDescent="0.3">
      <c r="A39">
        <v>139</v>
      </c>
      <c r="B39" t="s">
        <v>154</v>
      </c>
      <c r="C39" t="s">
        <v>6</v>
      </c>
      <c r="D39">
        <v>2018</v>
      </c>
      <c r="E39">
        <v>1.9</v>
      </c>
      <c r="F39" t="s">
        <v>26</v>
      </c>
      <c r="G39">
        <v>1</v>
      </c>
      <c r="H39" cm="1">
        <f t="array" ref="H39">_xlfn.XLOOKUP(Movies[[#This Row],[movie_id]:[movie_id]],Financials[[#All],[movie_id]:[movie_id]],Financials[[#All],[budget]],"Not Available",0)</f>
        <v>1.8</v>
      </c>
      <c r="I39" cm="1">
        <f t="array" ref="I39">_xlfn.XLOOKUP(Movies[[#This Row],[movie_id]:[movie_id]],Financials[[#All],[movie_id]:[movie_id]],Financials[[#All],[revenue]],"Not Available",0)</f>
        <v>3.1</v>
      </c>
      <c r="J39" t="str" cm="1">
        <f t="array" ref="J39">_xlfn.XLOOKUP(Movies[[#This Row],[movie_id]:[movie_id]],Financials[[#All],[movie_id]:[movie_id]],Financials[[#All],[unit]],"Not Available",0)</f>
        <v>Billions</v>
      </c>
      <c r="K39" t="str" cm="1">
        <f t="array" ref="K39">_xlfn.XLOOKUP(Movies[[#This Row],[movie_id]:[movie_id]],Financials[[#All],[movie_id]:[movie_id]],Financials[[#All],[currency]],"Not Available",0)</f>
        <v>INR</v>
      </c>
      <c r="L39" cm="1">
        <f t="array" ref="L39">IF(Movies[[#This Row],[unit]:[unit]]="Billions",Movies[[#This Row],[budget]]*1000,Movies[[#This Row],[budget]])</f>
        <v>1800</v>
      </c>
      <c r="M39" cm="1">
        <f t="array" ref="M39">IF(Movies[[#This Row],[unit]:[unit]]="Billions",Movies[[#This Row],[revenue]]*1000,Movies[[#This Row],[revenue]])</f>
        <v>3100</v>
      </c>
      <c r="N39" cm="1">
        <f t="array" ref="N39">IF(Movies[[#This Row],[currency]:[currency]]="USD",Movies[[#This Row],[budget-mil]]*80,Movies[[#This Row],[budget-mil]])</f>
        <v>1800</v>
      </c>
      <c r="O39" cm="1">
        <f t="array" ref="O39">IF(Movies[[#This Row],[currency]:[currency]]="USD",Movies[[#This Row],[revenue-mil]]*80,Movies[[#This Row],[revenue-mil]])</f>
        <v>3100</v>
      </c>
      <c r="P39" cm="1">
        <f t="array" ref="P39">IF(Movies[[#This Row],[currency]:[currency]]="INR",Movies[[#This Row],[budget-mil]]/80,Movies[[#This Row],[budget-mil]])</f>
        <v>22.5</v>
      </c>
      <c r="Q39" cm="1">
        <f t="array" ref="Q39">IF(Movies[[#This Row],[currency]:[currency]]="INR",Movies[[#This Row],[revenue-mil]]/80,Movies[[#This Row],[revenue-mil]])</f>
        <v>38.75</v>
      </c>
    </row>
    <row r="40" spans="1:17" x14ac:dyDescent="0.3">
      <c r="A40">
        <v>140</v>
      </c>
      <c r="B40" t="s">
        <v>155</v>
      </c>
      <c r="C40" t="s">
        <v>6</v>
      </c>
      <c r="D40">
        <v>2021</v>
      </c>
      <c r="E40">
        <v>8.4</v>
      </c>
      <c r="F40" t="s">
        <v>12</v>
      </c>
      <c r="G40">
        <v>1</v>
      </c>
      <c r="H40" cm="1">
        <f t="array" ref="H40">_xlfn.XLOOKUP(Movies[[#This Row],[movie_id]:[movie_id]],Financials[[#All],[movie_id]:[movie_id]],Financials[[#All],[budget]],"Not Available",0)</f>
        <v>500</v>
      </c>
      <c r="I40" cm="1">
        <f t="array" ref="I40">_xlfn.XLOOKUP(Movies[[#This Row],[movie_id]:[movie_id]],Financials[[#All],[movie_id]:[movie_id]],Financials[[#All],[revenue]],"Not Available",0)</f>
        <v>950</v>
      </c>
      <c r="J40" t="str" cm="1">
        <f t="array" ref="J40">_xlfn.XLOOKUP(Movies[[#This Row],[movie_id]:[movie_id]],Financials[[#All],[movie_id]:[movie_id]],Financials[[#All],[unit]],"Not Available",0)</f>
        <v>Millions</v>
      </c>
      <c r="K40" t="str" cm="1">
        <f t="array" ref="K40">_xlfn.XLOOKUP(Movies[[#This Row],[movie_id]:[movie_id]],Financials[[#All],[movie_id]:[movie_id]],Financials[[#All],[currency]],"Not Available",0)</f>
        <v>INR</v>
      </c>
      <c r="L40" cm="1">
        <f t="array" ref="L40">IF(Movies[[#This Row],[unit]:[unit]]="Billions",Movies[[#This Row],[budget]]*1000,Movies[[#This Row],[budget]])</f>
        <v>500</v>
      </c>
      <c r="M40" cm="1">
        <f t="array" ref="M40">IF(Movies[[#This Row],[unit]:[unit]]="Billions",Movies[[#This Row],[revenue]]*1000,Movies[[#This Row],[revenue]])</f>
        <v>950</v>
      </c>
      <c r="N40" cm="1">
        <f t="array" ref="N40">IF(Movies[[#This Row],[currency]:[currency]]="USD",Movies[[#This Row],[budget-mil]]*80,Movies[[#This Row],[budget-mil]])</f>
        <v>500</v>
      </c>
      <c r="O40" cm="1">
        <f t="array" ref="O40">IF(Movies[[#This Row],[currency]:[currency]]="USD",Movies[[#This Row],[revenue-mil]]*80,Movies[[#This Row],[revenue-mil]])</f>
        <v>950</v>
      </c>
      <c r="P40" cm="1">
        <f t="array" ref="P40">IF(Movies[[#This Row],[currency]:[currency]]="INR",Movies[[#This Row],[budget-mil]]/80,Movies[[#This Row],[budget-mil]])</f>
        <v>6.25</v>
      </c>
      <c r="Q40" cm="1">
        <f t="array" ref="Q40">IF(Movies[[#This Row],[currency]:[currency]]="INR",Movies[[#This Row],[revenue-mil]]/80,Movies[[#This Row],[revenue-mil]])</f>
        <v>11.875</v>
      </c>
    </row>
    <row r="43" spans="1:17" x14ac:dyDescent="0.3">
      <c r="C43" s="3" t="s">
        <v>161</v>
      </c>
      <c r="D43">
        <f>SUM(Movies[budget INR])</f>
        <v>264196.40000000002</v>
      </c>
      <c r="N43" t="s">
        <v>167</v>
      </c>
      <c r="O43" s="7">
        <f>SUM(Movies[revenue INR])</f>
        <v>1567141</v>
      </c>
      <c r="P43" t="s">
        <v>168</v>
      </c>
      <c r="Q43" s="8">
        <f>SUM(Movies[revenue USD])</f>
        <v>19589.262500000001</v>
      </c>
    </row>
    <row r="44" spans="1:17" x14ac:dyDescent="0.3">
      <c r="C44" t="s">
        <v>164</v>
      </c>
      <c r="D44" s="5">
        <f>COUNT(Movies[[#All],[movie_id]])</f>
        <v>39</v>
      </c>
    </row>
    <row r="45" spans="1:17" x14ac:dyDescent="0.3">
      <c r="C45" t="s">
        <v>165</v>
      </c>
      <c r="D45">
        <f>COUNTIF(Movies[industry],"Bollywood")</f>
        <v>18</v>
      </c>
    </row>
    <row r="46" spans="1:17" x14ac:dyDescent="0.3">
      <c r="C46" t="s">
        <v>166</v>
      </c>
      <c r="D46" s="6">
        <f>D45/D44</f>
        <v>0.46153846153846156</v>
      </c>
    </row>
    <row r="47" spans="1:17" x14ac:dyDescent="0.3">
      <c r="C47" t="s">
        <v>169</v>
      </c>
      <c r="D47">
        <f>SUMIF(Movies[industry],"Bollywood",Movies[revenue INR])</f>
        <v>80909</v>
      </c>
    </row>
    <row r="48" spans="1:17" x14ac:dyDescent="0.3">
      <c r="C48" t="s">
        <v>170</v>
      </c>
      <c r="D48" s="4">
        <f>D47/D45</f>
        <v>4494.9444444444443</v>
      </c>
    </row>
  </sheetData>
  <conditionalFormatting sqref="A1:B1">
    <cfRule type="duplicateValues" dxfId="21" priority="5"/>
    <cfRule type="duplicateValues" dxfId="20" priority="6"/>
  </conditionalFormatting>
  <conditionalFormatting sqref="A2:B40">
    <cfRule type="duplicateValues" dxfId="19" priority="9"/>
    <cfRule type="duplicateValues" dxfId="18" priority="10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topLeftCell="A13" zoomScale="160" zoomScaleNormal="160" workbookViewId="0">
      <selection activeCell="I28" sqref="I28"/>
    </sheetView>
  </sheetViews>
  <sheetFormatPr defaultRowHeight="14.4" x14ac:dyDescent="0.3"/>
  <cols>
    <col min="1" max="1" width="9.44140625" customWidth="1"/>
    <col min="5" max="5" width="12.5546875" customWidth="1"/>
  </cols>
  <sheetData>
    <row r="1" spans="1:5" x14ac:dyDescent="0.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3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3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3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3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3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3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3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3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3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3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3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3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3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3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3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3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3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3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3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3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3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3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3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3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3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3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3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3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3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3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3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3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3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3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3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3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3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3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3">
      <c r="A41">
        <v>412</v>
      </c>
      <c r="B41">
        <v>160</v>
      </c>
      <c r="C41">
        <v>836.8</v>
      </c>
      <c r="D41" t="s">
        <v>33</v>
      </c>
      <c r="E4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topLeftCell="A16" zoomScale="160" zoomScaleNormal="160" workbookViewId="0">
      <selection activeCell="C14" sqref="C14"/>
    </sheetView>
  </sheetViews>
  <sheetFormatPr defaultRowHeight="14.4" x14ac:dyDescent="0.3"/>
  <cols>
    <col min="2" max="2" width="26.44140625" customWidth="1"/>
    <col min="3" max="3" width="10.88671875" customWidth="1"/>
    <col min="5" max="5" width="22.109375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x14ac:dyDescent="0.3">
      <c r="A2">
        <v>50</v>
      </c>
      <c r="B2" t="s">
        <v>38</v>
      </c>
      <c r="C2">
        <v>1986</v>
      </c>
    </row>
    <row r="3" spans="1:3" x14ac:dyDescent="0.3">
      <c r="A3">
        <v>51</v>
      </c>
      <c r="B3" t="s">
        <v>39</v>
      </c>
      <c r="C3">
        <v>1959</v>
      </c>
    </row>
    <row r="4" spans="1:3" x14ac:dyDescent="0.3">
      <c r="A4">
        <v>52</v>
      </c>
      <c r="B4" t="s">
        <v>40</v>
      </c>
      <c r="C4">
        <v>1976</v>
      </c>
    </row>
    <row r="5" spans="1:3" x14ac:dyDescent="0.3">
      <c r="A5">
        <v>53</v>
      </c>
      <c r="B5" t="s">
        <v>41</v>
      </c>
      <c r="C5">
        <v>1989</v>
      </c>
    </row>
    <row r="6" spans="1:3" x14ac:dyDescent="0.3">
      <c r="A6">
        <v>54</v>
      </c>
      <c r="B6" t="s">
        <v>42</v>
      </c>
      <c r="C6">
        <v>1983</v>
      </c>
    </row>
    <row r="7" spans="1:3" x14ac:dyDescent="0.3">
      <c r="A7">
        <v>55</v>
      </c>
      <c r="B7" t="s">
        <v>43</v>
      </c>
      <c r="C7">
        <v>1981</v>
      </c>
    </row>
    <row r="8" spans="1:3" x14ac:dyDescent="0.3">
      <c r="A8">
        <v>56</v>
      </c>
      <c r="B8" t="s">
        <v>44</v>
      </c>
      <c r="C8">
        <v>1981</v>
      </c>
    </row>
    <row r="9" spans="1:3" x14ac:dyDescent="0.3">
      <c r="A9">
        <v>57</v>
      </c>
      <c r="B9" t="s">
        <v>45</v>
      </c>
      <c r="C9">
        <v>1942</v>
      </c>
    </row>
    <row r="10" spans="1:3" x14ac:dyDescent="0.3">
      <c r="A10">
        <v>58</v>
      </c>
      <c r="B10" t="s">
        <v>46</v>
      </c>
      <c r="C10">
        <v>1948</v>
      </c>
    </row>
    <row r="11" spans="1:3" x14ac:dyDescent="0.3">
      <c r="A11">
        <v>59</v>
      </c>
      <c r="B11" t="s">
        <v>47</v>
      </c>
      <c r="C11">
        <v>1965</v>
      </c>
    </row>
    <row r="12" spans="1:3" x14ac:dyDescent="0.3">
      <c r="A12">
        <v>60</v>
      </c>
      <c r="B12" t="s">
        <v>48</v>
      </c>
      <c r="C12">
        <v>1974</v>
      </c>
    </row>
    <row r="13" spans="1:3" x14ac:dyDescent="0.3">
      <c r="A13">
        <v>61</v>
      </c>
      <c r="B13" t="s">
        <v>49</v>
      </c>
      <c r="C13">
        <v>1965</v>
      </c>
    </row>
    <row r="14" spans="1:3" x14ac:dyDescent="0.3">
      <c r="A14">
        <v>62</v>
      </c>
      <c r="B14" t="s">
        <v>50</v>
      </c>
      <c r="C14">
        <v>1970</v>
      </c>
    </row>
    <row r="15" spans="1:3" x14ac:dyDescent="0.3">
      <c r="A15">
        <v>63</v>
      </c>
      <c r="B15" t="s">
        <v>51</v>
      </c>
      <c r="C15">
        <v>1979</v>
      </c>
    </row>
    <row r="16" spans="1:3" x14ac:dyDescent="0.3">
      <c r="A16">
        <v>64</v>
      </c>
      <c r="B16" t="s">
        <v>52</v>
      </c>
      <c r="C16">
        <v>1974</v>
      </c>
    </row>
    <row r="17" spans="1:3" x14ac:dyDescent="0.3">
      <c r="A17">
        <v>65</v>
      </c>
      <c r="B17" t="s">
        <v>53</v>
      </c>
      <c r="C17">
        <v>1985</v>
      </c>
    </row>
    <row r="18" spans="1:3" x14ac:dyDescent="0.3">
      <c r="A18">
        <v>66</v>
      </c>
      <c r="B18" t="s">
        <v>54</v>
      </c>
      <c r="C18">
        <v>1986</v>
      </c>
    </row>
    <row r="19" spans="1:3" x14ac:dyDescent="0.3">
      <c r="A19">
        <v>67</v>
      </c>
      <c r="B19" t="s">
        <v>55</v>
      </c>
      <c r="C19">
        <v>1958</v>
      </c>
    </row>
    <row r="20" spans="1:3" x14ac:dyDescent="0.3">
      <c r="A20">
        <v>68</v>
      </c>
      <c r="B20" t="s">
        <v>56</v>
      </c>
      <c r="C20">
        <v>1937</v>
      </c>
    </row>
    <row r="21" spans="1:3" x14ac:dyDescent="0.3">
      <c r="A21">
        <v>69</v>
      </c>
      <c r="B21" t="s">
        <v>57</v>
      </c>
      <c r="C21">
        <v>1974</v>
      </c>
    </row>
    <row r="22" spans="1:3" x14ac:dyDescent="0.3">
      <c r="A22">
        <v>70</v>
      </c>
      <c r="B22" t="s">
        <v>58</v>
      </c>
      <c r="C22">
        <v>1959</v>
      </c>
    </row>
    <row r="23" spans="1:3" x14ac:dyDescent="0.3">
      <c r="A23">
        <v>71</v>
      </c>
      <c r="B23" t="s">
        <v>59</v>
      </c>
      <c r="C23">
        <v>1969</v>
      </c>
    </row>
    <row r="24" spans="1:3" x14ac:dyDescent="0.3">
      <c r="A24">
        <v>72</v>
      </c>
      <c r="B24" t="s">
        <v>60</v>
      </c>
      <c r="C24">
        <v>1982</v>
      </c>
    </row>
    <row r="25" spans="1:3" x14ac:dyDescent="0.3">
      <c r="A25">
        <v>73</v>
      </c>
      <c r="B25" t="s">
        <v>61</v>
      </c>
      <c r="C25">
        <v>1984</v>
      </c>
    </row>
    <row r="26" spans="1:3" x14ac:dyDescent="0.3">
      <c r="A26">
        <v>74</v>
      </c>
      <c r="B26" t="s">
        <v>62</v>
      </c>
      <c r="C26">
        <v>1986</v>
      </c>
    </row>
    <row r="27" spans="1:3" x14ac:dyDescent="0.3">
      <c r="A27">
        <v>75</v>
      </c>
      <c r="B27" t="s">
        <v>63</v>
      </c>
      <c r="C27">
        <v>1968</v>
      </c>
    </row>
    <row r="28" spans="1:3" x14ac:dyDescent="0.3">
      <c r="A28">
        <v>76</v>
      </c>
      <c r="B28" t="s">
        <v>64</v>
      </c>
      <c r="C28">
        <v>1972</v>
      </c>
    </row>
    <row r="29" spans="1:3" x14ac:dyDescent="0.3">
      <c r="A29">
        <v>77</v>
      </c>
      <c r="B29" t="s">
        <v>65</v>
      </c>
      <c r="C29">
        <v>1964</v>
      </c>
    </row>
    <row r="30" spans="1:3" x14ac:dyDescent="0.3">
      <c r="A30">
        <v>78</v>
      </c>
      <c r="B30" t="s">
        <v>66</v>
      </c>
      <c r="C30">
        <v>1974</v>
      </c>
    </row>
    <row r="31" spans="1:3" x14ac:dyDescent="0.3">
      <c r="A31">
        <v>79</v>
      </c>
      <c r="B31" t="s">
        <v>67</v>
      </c>
      <c r="C31">
        <v>1975</v>
      </c>
    </row>
    <row r="32" spans="1:3" x14ac:dyDescent="0.3">
      <c r="A32">
        <v>80</v>
      </c>
      <c r="B32" t="s">
        <v>68</v>
      </c>
      <c r="C32">
        <v>1908</v>
      </c>
    </row>
    <row r="33" spans="1:3" x14ac:dyDescent="0.3">
      <c r="A33">
        <v>81</v>
      </c>
      <c r="B33" t="s">
        <v>69</v>
      </c>
      <c r="C33">
        <v>1921</v>
      </c>
    </row>
    <row r="34" spans="1:3" x14ac:dyDescent="0.3">
      <c r="A34">
        <v>82</v>
      </c>
      <c r="B34" t="s">
        <v>70</v>
      </c>
      <c r="C34">
        <v>1976</v>
      </c>
    </row>
    <row r="35" spans="1:3" x14ac:dyDescent="0.3">
      <c r="A35">
        <v>83</v>
      </c>
      <c r="B35" t="s">
        <v>71</v>
      </c>
      <c r="C35">
        <v>1978</v>
      </c>
    </row>
    <row r="36" spans="1:3" x14ac:dyDescent="0.3">
      <c r="A36">
        <v>84</v>
      </c>
      <c r="B36" t="s">
        <v>72</v>
      </c>
      <c r="C36">
        <v>1924</v>
      </c>
    </row>
    <row r="37" spans="1:3" x14ac:dyDescent="0.3">
      <c r="A37">
        <v>85</v>
      </c>
      <c r="B37" t="s">
        <v>73</v>
      </c>
      <c r="C37">
        <v>1940</v>
      </c>
    </row>
    <row r="38" spans="1:3" x14ac:dyDescent="0.3">
      <c r="A38">
        <v>86</v>
      </c>
      <c r="B38" t="s">
        <v>74</v>
      </c>
      <c r="C38">
        <v>1974</v>
      </c>
    </row>
    <row r="39" spans="1:3" x14ac:dyDescent="0.3">
      <c r="A39">
        <v>87</v>
      </c>
      <c r="B39" t="s">
        <v>75</v>
      </c>
      <c r="C39">
        <v>1979</v>
      </c>
    </row>
    <row r="40" spans="1:3" x14ac:dyDescent="0.3">
      <c r="A40">
        <v>88</v>
      </c>
      <c r="B40" t="s">
        <v>76</v>
      </c>
      <c r="C40">
        <v>1952</v>
      </c>
    </row>
    <row r="41" spans="1:3" x14ac:dyDescent="0.3">
      <c r="A41">
        <v>89</v>
      </c>
      <c r="B41" t="s">
        <v>77</v>
      </c>
      <c r="C41">
        <v>1943</v>
      </c>
    </row>
    <row r="42" spans="1:3" x14ac:dyDescent="0.3">
      <c r="A42">
        <v>90</v>
      </c>
      <c r="B42" t="s">
        <v>78</v>
      </c>
      <c r="C42">
        <v>1947</v>
      </c>
    </row>
    <row r="43" spans="1:3" x14ac:dyDescent="0.3">
      <c r="A43">
        <v>91</v>
      </c>
      <c r="B43" t="s">
        <v>79</v>
      </c>
      <c r="C43">
        <v>1967</v>
      </c>
    </row>
    <row r="44" spans="1:3" x14ac:dyDescent="0.3">
      <c r="A44">
        <v>92</v>
      </c>
      <c r="B44" t="s">
        <v>80</v>
      </c>
      <c r="C44">
        <v>1967</v>
      </c>
    </row>
    <row r="45" spans="1:3" x14ac:dyDescent="0.3">
      <c r="A45">
        <v>93</v>
      </c>
      <c r="B45" t="s">
        <v>81</v>
      </c>
      <c r="C45">
        <v>1975</v>
      </c>
    </row>
    <row r="46" spans="1:3" x14ac:dyDescent="0.3">
      <c r="A46">
        <v>94</v>
      </c>
      <c r="B46" t="s">
        <v>82</v>
      </c>
      <c r="C46">
        <v>1965</v>
      </c>
    </row>
    <row r="47" spans="1:3" x14ac:dyDescent="0.3">
      <c r="A47">
        <v>95</v>
      </c>
      <c r="B47" t="s">
        <v>83</v>
      </c>
      <c r="C47">
        <v>1981</v>
      </c>
    </row>
    <row r="48" spans="1:3" x14ac:dyDescent="0.3">
      <c r="A48">
        <v>150</v>
      </c>
      <c r="B48" t="s">
        <v>84</v>
      </c>
      <c r="C48">
        <v>1905</v>
      </c>
    </row>
    <row r="49" spans="1:3" x14ac:dyDescent="0.3">
      <c r="A49">
        <v>151</v>
      </c>
      <c r="B49" t="s">
        <v>85</v>
      </c>
      <c r="C49">
        <v>1919</v>
      </c>
    </row>
    <row r="50" spans="1:3" x14ac:dyDescent="0.3">
      <c r="A50">
        <v>152</v>
      </c>
      <c r="B50" t="s">
        <v>86</v>
      </c>
      <c r="C50">
        <v>1997</v>
      </c>
    </row>
    <row r="51" spans="1:3" x14ac:dyDescent="0.3">
      <c r="A51">
        <v>153</v>
      </c>
      <c r="B51" t="s">
        <v>87</v>
      </c>
      <c r="C51">
        <v>1929</v>
      </c>
    </row>
    <row r="52" spans="1:3" x14ac:dyDescent="0.3">
      <c r="A52">
        <v>154</v>
      </c>
      <c r="B52" t="s">
        <v>88</v>
      </c>
      <c r="C52">
        <v>1988</v>
      </c>
    </row>
    <row r="53" spans="1:3" x14ac:dyDescent="0.3">
      <c r="A53">
        <v>155</v>
      </c>
      <c r="B53" t="s">
        <v>89</v>
      </c>
      <c r="C53">
        <v>1982</v>
      </c>
    </row>
    <row r="54" spans="1:3" x14ac:dyDescent="0.3">
      <c r="A54">
        <v>156</v>
      </c>
      <c r="B54" t="s">
        <v>90</v>
      </c>
      <c r="C54">
        <v>1982</v>
      </c>
    </row>
    <row r="55" spans="1:3" x14ac:dyDescent="0.3">
      <c r="A55">
        <v>157</v>
      </c>
      <c r="B55" t="s">
        <v>91</v>
      </c>
      <c r="C55">
        <v>1982</v>
      </c>
    </row>
    <row r="56" spans="1:3" x14ac:dyDescent="0.3">
      <c r="A56">
        <v>158</v>
      </c>
      <c r="B56" t="s">
        <v>92</v>
      </c>
      <c r="C56">
        <v>1983</v>
      </c>
    </row>
    <row r="57" spans="1:3" x14ac:dyDescent="0.3">
      <c r="A57">
        <v>159</v>
      </c>
      <c r="B57" t="s">
        <v>93</v>
      </c>
      <c r="C57">
        <v>1985</v>
      </c>
    </row>
    <row r="58" spans="1:3" x14ac:dyDescent="0.3">
      <c r="A58">
        <v>160</v>
      </c>
      <c r="B58" t="s">
        <v>94</v>
      </c>
      <c r="C58">
        <v>1979</v>
      </c>
    </row>
    <row r="59" spans="1:3" x14ac:dyDescent="0.3">
      <c r="A59">
        <v>161</v>
      </c>
      <c r="B59" t="s">
        <v>95</v>
      </c>
      <c r="C59">
        <v>1984</v>
      </c>
    </row>
    <row r="60" spans="1:3" x14ac:dyDescent="0.3">
      <c r="A60">
        <v>162</v>
      </c>
      <c r="B60" t="s">
        <v>96</v>
      </c>
      <c r="C60">
        <v>1950</v>
      </c>
    </row>
    <row r="61" spans="1:3" x14ac:dyDescent="0.3">
      <c r="A61">
        <v>163</v>
      </c>
      <c r="B61" t="s">
        <v>97</v>
      </c>
      <c r="C61">
        <v>1955</v>
      </c>
    </row>
    <row r="62" spans="1:3" x14ac:dyDescent="0.3">
      <c r="A62">
        <v>164</v>
      </c>
      <c r="B62" t="s">
        <v>98</v>
      </c>
      <c r="C62">
        <v>1965</v>
      </c>
    </row>
    <row r="63" spans="1:3" x14ac:dyDescent="0.3">
      <c r="A63">
        <v>165</v>
      </c>
      <c r="B63" t="s">
        <v>99</v>
      </c>
      <c r="C63">
        <v>1967</v>
      </c>
    </row>
    <row r="64" spans="1:3" x14ac:dyDescent="0.3">
      <c r="A64">
        <v>166</v>
      </c>
      <c r="B64" t="s">
        <v>100</v>
      </c>
      <c r="C64">
        <v>1946</v>
      </c>
    </row>
    <row r="65" spans="1:3" x14ac:dyDescent="0.3">
      <c r="A65">
        <v>167</v>
      </c>
      <c r="B65" t="s">
        <v>101</v>
      </c>
      <c r="C65">
        <v>1982</v>
      </c>
    </row>
    <row r="66" spans="1:3" x14ac:dyDescent="0.3">
      <c r="A66">
        <v>168</v>
      </c>
      <c r="B66" t="s">
        <v>102</v>
      </c>
      <c r="C66">
        <v>1956</v>
      </c>
    </row>
    <row r="67" spans="1:3" x14ac:dyDescent="0.3">
      <c r="A67">
        <v>169</v>
      </c>
      <c r="B67" t="s">
        <v>103</v>
      </c>
      <c r="C67">
        <v>1985</v>
      </c>
    </row>
    <row r="68" spans="1:3" x14ac:dyDescent="0.3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B2" sqref="B2:B3"/>
    </sheetView>
  </sheetViews>
  <sheetFormatPr defaultRowHeight="14.4" x14ac:dyDescent="0.3"/>
  <cols>
    <col min="1" max="1" width="9.88671875" customWidth="1"/>
  </cols>
  <sheetData>
    <row r="1" spans="1:2" x14ac:dyDescent="0.3">
      <c r="A1" s="2" t="s">
        <v>0</v>
      </c>
      <c r="B1" s="2" t="s">
        <v>35</v>
      </c>
    </row>
    <row r="2" spans="1:2" x14ac:dyDescent="0.3">
      <c r="A2">
        <v>101</v>
      </c>
      <c r="B2">
        <v>50</v>
      </c>
    </row>
    <row r="3" spans="1:2" x14ac:dyDescent="0.3">
      <c r="A3">
        <v>101</v>
      </c>
      <c r="B3">
        <v>51</v>
      </c>
    </row>
    <row r="4" spans="1:2" x14ac:dyDescent="0.3">
      <c r="A4">
        <v>102</v>
      </c>
      <c r="B4">
        <v>52</v>
      </c>
    </row>
    <row r="5" spans="1:2" x14ac:dyDescent="0.3">
      <c r="A5">
        <v>102</v>
      </c>
      <c r="B5">
        <v>53</v>
      </c>
    </row>
    <row r="6" spans="1:2" x14ac:dyDescent="0.3">
      <c r="A6">
        <v>103</v>
      </c>
      <c r="B6">
        <v>54</v>
      </c>
    </row>
    <row r="7" spans="1:2" x14ac:dyDescent="0.3">
      <c r="A7">
        <v>103</v>
      </c>
      <c r="B7">
        <v>55</v>
      </c>
    </row>
    <row r="8" spans="1:2" x14ac:dyDescent="0.3">
      <c r="A8">
        <v>103</v>
      </c>
      <c r="B8">
        <v>56</v>
      </c>
    </row>
    <row r="9" spans="1:2" x14ac:dyDescent="0.3">
      <c r="A9">
        <v>104</v>
      </c>
      <c r="B9">
        <v>54</v>
      </c>
    </row>
    <row r="10" spans="1:2" x14ac:dyDescent="0.3">
      <c r="A10">
        <v>104</v>
      </c>
      <c r="B10">
        <v>56</v>
      </c>
    </row>
    <row r="11" spans="1:2" x14ac:dyDescent="0.3">
      <c r="A11">
        <v>105</v>
      </c>
      <c r="B11">
        <v>54</v>
      </c>
    </row>
    <row r="12" spans="1:2" x14ac:dyDescent="0.3">
      <c r="A12">
        <v>105</v>
      </c>
      <c r="B12">
        <v>55</v>
      </c>
    </row>
    <row r="13" spans="1:2" x14ac:dyDescent="0.3">
      <c r="A13">
        <v>106</v>
      </c>
      <c r="B13">
        <v>57</v>
      </c>
    </row>
    <row r="14" spans="1:2" x14ac:dyDescent="0.3">
      <c r="A14">
        <v>106</v>
      </c>
      <c r="B14">
        <v>58</v>
      </c>
    </row>
    <row r="15" spans="1:2" x14ac:dyDescent="0.3">
      <c r="A15">
        <v>107</v>
      </c>
      <c r="B15">
        <v>59</v>
      </c>
    </row>
    <row r="16" spans="1:2" x14ac:dyDescent="0.3">
      <c r="A16">
        <v>107</v>
      </c>
      <c r="B16">
        <v>60</v>
      </c>
    </row>
    <row r="17" spans="1:2" x14ac:dyDescent="0.3">
      <c r="A17">
        <v>108</v>
      </c>
      <c r="B17">
        <v>61</v>
      </c>
    </row>
    <row r="18" spans="1:2" x14ac:dyDescent="0.3">
      <c r="A18">
        <v>108</v>
      </c>
      <c r="B18">
        <v>62</v>
      </c>
    </row>
    <row r="19" spans="1:2" x14ac:dyDescent="0.3">
      <c r="A19">
        <v>108</v>
      </c>
      <c r="B19">
        <v>63</v>
      </c>
    </row>
    <row r="20" spans="1:2" x14ac:dyDescent="0.3">
      <c r="A20">
        <v>109</v>
      </c>
      <c r="B20">
        <v>59</v>
      </c>
    </row>
    <row r="21" spans="1:2" x14ac:dyDescent="0.3">
      <c r="A21">
        <v>109</v>
      </c>
      <c r="B21">
        <v>57</v>
      </c>
    </row>
    <row r="22" spans="1:2" x14ac:dyDescent="0.3">
      <c r="A22">
        <v>109</v>
      </c>
      <c r="B22">
        <v>64</v>
      </c>
    </row>
    <row r="23" spans="1:2" x14ac:dyDescent="0.3">
      <c r="A23">
        <v>110</v>
      </c>
      <c r="B23">
        <v>65</v>
      </c>
    </row>
    <row r="24" spans="1:2" x14ac:dyDescent="0.3">
      <c r="A24">
        <v>110</v>
      </c>
      <c r="B24">
        <v>66</v>
      </c>
    </row>
    <row r="25" spans="1:2" x14ac:dyDescent="0.3">
      <c r="A25">
        <v>111</v>
      </c>
      <c r="B25">
        <v>67</v>
      </c>
    </row>
    <row r="26" spans="1:2" x14ac:dyDescent="0.3">
      <c r="A26">
        <v>111</v>
      </c>
      <c r="B26">
        <v>68</v>
      </c>
    </row>
    <row r="27" spans="1:2" x14ac:dyDescent="0.3">
      <c r="A27">
        <v>112</v>
      </c>
      <c r="B27">
        <v>69</v>
      </c>
    </row>
    <row r="28" spans="1:2" x14ac:dyDescent="0.3">
      <c r="A28">
        <v>112</v>
      </c>
      <c r="B28">
        <v>70</v>
      </c>
    </row>
    <row r="29" spans="1:2" x14ac:dyDescent="0.3">
      <c r="A29">
        <v>113</v>
      </c>
      <c r="B29">
        <v>71</v>
      </c>
    </row>
    <row r="30" spans="1:2" x14ac:dyDescent="0.3">
      <c r="A30">
        <v>113</v>
      </c>
      <c r="B30">
        <v>72</v>
      </c>
    </row>
    <row r="31" spans="1:2" x14ac:dyDescent="0.3">
      <c r="A31">
        <v>114</v>
      </c>
      <c r="B31">
        <v>73</v>
      </c>
    </row>
    <row r="32" spans="1:2" x14ac:dyDescent="0.3">
      <c r="A32">
        <v>114</v>
      </c>
      <c r="B32">
        <v>74</v>
      </c>
    </row>
    <row r="33" spans="1:2" x14ac:dyDescent="0.3">
      <c r="A33">
        <v>115</v>
      </c>
      <c r="B33">
        <v>75</v>
      </c>
    </row>
    <row r="34" spans="1:2" x14ac:dyDescent="0.3">
      <c r="A34">
        <v>115</v>
      </c>
      <c r="B34">
        <v>76</v>
      </c>
    </row>
    <row r="35" spans="1:2" x14ac:dyDescent="0.3">
      <c r="A35">
        <v>116</v>
      </c>
      <c r="B35">
        <v>77</v>
      </c>
    </row>
    <row r="36" spans="1:2" x14ac:dyDescent="0.3">
      <c r="A36">
        <v>116</v>
      </c>
      <c r="B36">
        <v>78</v>
      </c>
    </row>
    <row r="37" spans="1:2" x14ac:dyDescent="0.3">
      <c r="A37">
        <v>117</v>
      </c>
      <c r="B37">
        <v>69</v>
      </c>
    </row>
    <row r="38" spans="1:2" x14ac:dyDescent="0.3">
      <c r="A38">
        <v>117</v>
      </c>
      <c r="B38">
        <v>79</v>
      </c>
    </row>
    <row r="39" spans="1:2" x14ac:dyDescent="0.3">
      <c r="A39">
        <v>118</v>
      </c>
      <c r="B39">
        <v>80</v>
      </c>
    </row>
    <row r="40" spans="1:2" x14ac:dyDescent="0.3">
      <c r="A40">
        <v>118</v>
      </c>
      <c r="B40">
        <v>81</v>
      </c>
    </row>
    <row r="41" spans="1:2" x14ac:dyDescent="0.3">
      <c r="A41">
        <v>119</v>
      </c>
      <c r="B41">
        <v>82</v>
      </c>
    </row>
    <row r="42" spans="1:2" x14ac:dyDescent="0.3">
      <c r="A42">
        <v>119</v>
      </c>
      <c r="B42">
        <v>83</v>
      </c>
    </row>
    <row r="43" spans="1:2" x14ac:dyDescent="0.3">
      <c r="A43">
        <v>120</v>
      </c>
      <c r="B43">
        <v>84</v>
      </c>
    </row>
    <row r="44" spans="1:2" x14ac:dyDescent="0.3">
      <c r="A44">
        <v>120</v>
      </c>
      <c r="B44">
        <v>85</v>
      </c>
    </row>
    <row r="45" spans="1:2" x14ac:dyDescent="0.3">
      <c r="A45">
        <v>121</v>
      </c>
      <c r="B45">
        <v>86</v>
      </c>
    </row>
    <row r="46" spans="1:2" x14ac:dyDescent="0.3">
      <c r="A46">
        <v>121</v>
      </c>
      <c r="B46">
        <v>87</v>
      </c>
    </row>
    <row r="47" spans="1:2" x14ac:dyDescent="0.3">
      <c r="A47">
        <v>122</v>
      </c>
      <c r="B47">
        <v>88</v>
      </c>
    </row>
    <row r="48" spans="1:2" x14ac:dyDescent="0.3">
      <c r="A48">
        <v>122</v>
      </c>
      <c r="B48">
        <v>89</v>
      </c>
    </row>
    <row r="49" spans="1:2" x14ac:dyDescent="0.3">
      <c r="A49">
        <v>123</v>
      </c>
      <c r="B49">
        <v>90</v>
      </c>
    </row>
    <row r="50" spans="1:2" x14ac:dyDescent="0.3">
      <c r="A50">
        <v>123</v>
      </c>
      <c r="B50">
        <v>91</v>
      </c>
    </row>
    <row r="51" spans="1:2" x14ac:dyDescent="0.3">
      <c r="A51">
        <v>124</v>
      </c>
      <c r="B51">
        <v>92</v>
      </c>
    </row>
    <row r="52" spans="1:2" x14ac:dyDescent="0.3">
      <c r="A52">
        <v>124</v>
      </c>
      <c r="B52">
        <v>93</v>
      </c>
    </row>
    <row r="53" spans="1:2" x14ac:dyDescent="0.3">
      <c r="A53">
        <v>125</v>
      </c>
      <c r="B53">
        <v>94</v>
      </c>
    </row>
    <row r="54" spans="1:2" x14ac:dyDescent="0.3">
      <c r="A54">
        <v>125</v>
      </c>
      <c r="B54">
        <v>95</v>
      </c>
    </row>
    <row r="55" spans="1:2" x14ac:dyDescent="0.3">
      <c r="A55">
        <v>125</v>
      </c>
      <c r="B55">
        <v>54</v>
      </c>
    </row>
    <row r="56" spans="1:2" x14ac:dyDescent="0.3">
      <c r="A56">
        <v>126</v>
      </c>
      <c r="B56">
        <v>94</v>
      </c>
    </row>
    <row r="57" spans="1:2" x14ac:dyDescent="0.3">
      <c r="A57">
        <v>126</v>
      </c>
      <c r="B57">
        <v>95</v>
      </c>
    </row>
    <row r="58" spans="1:2" x14ac:dyDescent="0.3">
      <c r="A58">
        <v>126</v>
      </c>
      <c r="B58">
        <v>54</v>
      </c>
    </row>
    <row r="59" spans="1:2" x14ac:dyDescent="0.3">
      <c r="A59">
        <v>127</v>
      </c>
      <c r="B59">
        <v>150</v>
      </c>
    </row>
    <row r="60" spans="1:2" x14ac:dyDescent="0.3">
      <c r="A60">
        <v>127</v>
      </c>
      <c r="B60">
        <v>151</v>
      </c>
    </row>
    <row r="61" spans="1:2" x14ac:dyDescent="0.3">
      <c r="A61">
        <v>128</v>
      </c>
      <c r="B61">
        <v>61</v>
      </c>
    </row>
    <row r="62" spans="1:2" x14ac:dyDescent="0.3">
      <c r="A62">
        <v>128</v>
      </c>
      <c r="B62">
        <v>152</v>
      </c>
    </row>
    <row r="63" spans="1:2" x14ac:dyDescent="0.3">
      <c r="A63">
        <v>129</v>
      </c>
      <c r="B63">
        <v>51</v>
      </c>
    </row>
    <row r="64" spans="1:2" x14ac:dyDescent="0.3">
      <c r="A64">
        <v>129</v>
      </c>
      <c r="B64">
        <v>153</v>
      </c>
    </row>
    <row r="65" spans="1:2" x14ac:dyDescent="0.3">
      <c r="A65">
        <v>130</v>
      </c>
      <c r="B65">
        <v>61</v>
      </c>
    </row>
    <row r="66" spans="1:2" x14ac:dyDescent="0.3">
      <c r="A66">
        <v>130</v>
      </c>
      <c r="B66">
        <v>154</v>
      </c>
    </row>
    <row r="67" spans="1:2" x14ac:dyDescent="0.3">
      <c r="A67">
        <v>131</v>
      </c>
      <c r="B67">
        <v>155</v>
      </c>
    </row>
    <row r="68" spans="1:2" x14ac:dyDescent="0.3">
      <c r="A68">
        <v>131</v>
      </c>
      <c r="B68">
        <v>154</v>
      </c>
    </row>
    <row r="69" spans="1:2" x14ac:dyDescent="0.3">
      <c r="A69">
        <v>132</v>
      </c>
      <c r="B69">
        <v>156</v>
      </c>
    </row>
    <row r="70" spans="1:2" x14ac:dyDescent="0.3">
      <c r="A70">
        <v>132</v>
      </c>
      <c r="B70">
        <v>157</v>
      </c>
    </row>
    <row r="71" spans="1:2" x14ac:dyDescent="0.3">
      <c r="A71">
        <v>133</v>
      </c>
      <c r="B71">
        <v>158</v>
      </c>
    </row>
    <row r="72" spans="1:2" x14ac:dyDescent="0.3">
      <c r="A72">
        <v>133</v>
      </c>
      <c r="B72">
        <v>159</v>
      </c>
    </row>
    <row r="73" spans="1:2" x14ac:dyDescent="0.3">
      <c r="A73">
        <v>134</v>
      </c>
      <c r="B73">
        <v>160</v>
      </c>
    </row>
    <row r="74" spans="1:2" x14ac:dyDescent="0.3">
      <c r="A74">
        <v>134</v>
      </c>
      <c r="B74">
        <v>161</v>
      </c>
    </row>
    <row r="75" spans="1:2" x14ac:dyDescent="0.3">
      <c r="A75">
        <v>135</v>
      </c>
      <c r="B75">
        <v>162</v>
      </c>
    </row>
    <row r="76" spans="1:2" x14ac:dyDescent="0.3">
      <c r="A76">
        <v>135</v>
      </c>
      <c r="B76">
        <v>163</v>
      </c>
    </row>
    <row r="77" spans="1:2" x14ac:dyDescent="0.3">
      <c r="A77">
        <v>136</v>
      </c>
      <c r="B77">
        <v>164</v>
      </c>
    </row>
    <row r="78" spans="1:2" x14ac:dyDescent="0.3">
      <c r="A78">
        <v>136</v>
      </c>
      <c r="B78">
        <v>165</v>
      </c>
    </row>
    <row r="79" spans="1:2" x14ac:dyDescent="0.3">
      <c r="A79">
        <v>137</v>
      </c>
      <c r="B79">
        <v>95</v>
      </c>
    </row>
    <row r="80" spans="1:2" x14ac:dyDescent="0.3">
      <c r="A80">
        <v>137</v>
      </c>
      <c r="B80">
        <v>166</v>
      </c>
    </row>
    <row r="81" spans="1:2" x14ac:dyDescent="0.3">
      <c r="A81">
        <v>138</v>
      </c>
      <c r="B81">
        <v>95</v>
      </c>
    </row>
    <row r="82" spans="1:2" x14ac:dyDescent="0.3">
      <c r="A82">
        <v>138</v>
      </c>
      <c r="B82">
        <v>167</v>
      </c>
    </row>
    <row r="83" spans="1:2" x14ac:dyDescent="0.3">
      <c r="A83">
        <v>139</v>
      </c>
      <c r="B83">
        <v>164</v>
      </c>
    </row>
    <row r="84" spans="1:2" x14ac:dyDescent="0.3">
      <c r="A84">
        <v>139</v>
      </c>
      <c r="B84">
        <v>168</v>
      </c>
    </row>
    <row r="85" spans="1:2" x14ac:dyDescent="0.3">
      <c r="A85">
        <v>140</v>
      </c>
      <c r="B85">
        <v>169</v>
      </c>
    </row>
    <row r="86" spans="1:2" x14ac:dyDescent="0.3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4.4" x14ac:dyDescent="0.3"/>
  <cols>
    <col min="1" max="1" width="12.44140625" customWidth="1"/>
  </cols>
  <sheetData>
    <row r="1" spans="1:2" x14ac:dyDescent="0.3">
      <c r="A1" s="2" t="s">
        <v>5</v>
      </c>
      <c r="B1" s="2" t="s">
        <v>36</v>
      </c>
    </row>
    <row r="2" spans="1:2" x14ac:dyDescent="0.3">
      <c r="A2">
        <v>1</v>
      </c>
      <c r="B2" t="s">
        <v>105</v>
      </c>
    </row>
    <row r="3" spans="1:2" x14ac:dyDescent="0.3">
      <c r="A3">
        <v>2</v>
      </c>
      <c r="B3" t="s">
        <v>106</v>
      </c>
    </row>
    <row r="4" spans="1:2" x14ac:dyDescent="0.3">
      <c r="A4">
        <v>3</v>
      </c>
      <c r="B4" t="s">
        <v>107</v>
      </c>
    </row>
    <row r="5" spans="1:2" x14ac:dyDescent="0.3">
      <c r="A5">
        <v>4</v>
      </c>
      <c r="B5" t="s">
        <v>108</v>
      </c>
    </row>
    <row r="6" spans="1:2" x14ac:dyDescent="0.3">
      <c r="A6">
        <v>5</v>
      </c>
      <c r="B6" t="s">
        <v>109</v>
      </c>
    </row>
    <row r="7" spans="1:2" x14ac:dyDescent="0.3">
      <c r="A7">
        <v>6</v>
      </c>
      <c r="B7" t="s">
        <v>110</v>
      </c>
    </row>
    <row r="8" spans="1:2" x14ac:dyDescent="0.3">
      <c r="A8">
        <v>7</v>
      </c>
      <c r="B8" t="s">
        <v>111</v>
      </c>
    </row>
    <row r="9" spans="1:2" x14ac:dyDescent="0.3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DB5D-1F54-49CD-B8E4-82DBEC869EC3}">
  <dimension ref="A1:E15"/>
  <sheetViews>
    <sheetView tabSelected="1" zoomScale="152" zoomScaleNormal="160" workbookViewId="0">
      <selection activeCell="E15" sqref="E15"/>
    </sheetView>
  </sheetViews>
  <sheetFormatPr defaultRowHeight="14.4" x14ac:dyDescent="0.3"/>
  <cols>
    <col min="1" max="1" width="24" customWidth="1"/>
    <col min="2" max="2" width="23.109375" customWidth="1"/>
    <col min="3" max="3" width="17.5546875" customWidth="1"/>
    <col min="4" max="4" width="17" customWidth="1"/>
    <col min="5" max="5" width="16.33203125" customWidth="1"/>
  </cols>
  <sheetData>
    <row r="1" spans="1:5" x14ac:dyDescent="0.3">
      <c r="A1" s="13" t="s">
        <v>181</v>
      </c>
    </row>
    <row r="3" spans="1:5" x14ac:dyDescent="0.3">
      <c r="A3" s="9" t="s">
        <v>171</v>
      </c>
      <c r="B3" s="9" t="s">
        <v>172</v>
      </c>
      <c r="C3" s="9" t="s">
        <v>178</v>
      </c>
      <c r="D3" s="9" t="s">
        <v>179</v>
      </c>
      <c r="E3" s="9" t="s">
        <v>180</v>
      </c>
    </row>
    <row r="4" spans="1:5" x14ac:dyDescent="0.3">
      <c r="A4" t="s">
        <v>173</v>
      </c>
      <c r="B4" s="10">
        <f>SUMIF(Movies[studio],"Marvel Studios",Movies[revenue USD])</f>
        <v>9054.6</v>
      </c>
      <c r="C4" s="10">
        <v>8000</v>
      </c>
      <c r="D4" s="11">
        <f>B4-C4</f>
        <v>1054.6000000000004</v>
      </c>
      <c r="E4" s="6">
        <f>D4/C4</f>
        <v>0.13182500000000005</v>
      </c>
    </row>
    <row r="5" spans="1:5" x14ac:dyDescent="0.3">
      <c r="A5" t="s">
        <v>174</v>
      </c>
      <c r="B5" s="10">
        <f>SUMIF(Movies[studio],"Marvel Studios",Movies[budget USD])</f>
        <v>1988.7</v>
      </c>
      <c r="C5" s="10">
        <v>2000</v>
      </c>
      <c r="D5" s="11">
        <f>B5-C5</f>
        <v>-11.299999999999955</v>
      </c>
      <c r="E5" s="6">
        <f>D5/C5</f>
        <v>-5.6499999999999771E-3</v>
      </c>
    </row>
    <row r="6" spans="1:5" x14ac:dyDescent="0.3">
      <c r="A6" t="s">
        <v>175</v>
      </c>
      <c r="B6" s="10">
        <f>B4-B5</f>
        <v>7065.9000000000005</v>
      </c>
      <c r="C6" s="10">
        <v>6000</v>
      </c>
      <c r="D6" s="11">
        <f>B6-C6</f>
        <v>1065.9000000000005</v>
      </c>
      <c r="E6" s="6">
        <f>D6/C6</f>
        <v>0.17765000000000009</v>
      </c>
    </row>
    <row r="7" spans="1:5" x14ac:dyDescent="0.3">
      <c r="A7" t="s">
        <v>176</v>
      </c>
      <c r="B7" s="6">
        <f>B6/B5</f>
        <v>3.5530245889274403</v>
      </c>
      <c r="C7" s="6">
        <f>C6/C5</f>
        <v>3</v>
      </c>
      <c r="D7" s="12">
        <f>B7-C7</f>
        <v>0.55302458892744033</v>
      </c>
      <c r="E7" s="6">
        <f>D7/C7</f>
        <v>0.1843415296424801</v>
      </c>
    </row>
    <row r="8" spans="1:5" x14ac:dyDescent="0.3">
      <c r="A8" t="s">
        <v>177</v>
      </c>
      <c r="B8" s="6">
        <f>B4/SUMIF(Movies[industry],"Hollywood",Movies[revenue USD])</f>
        <v>0.48738554949698293</v>
      </c>
      <c r="C8" s="6">
        <v>0.55000000000000004</v>
      </c>
      <c r="D8" s="12">
        <f>B8-C8</f>
        <v>-6.2614450503017116E-2</v>
      </c>
      <c r="E8" s="6">
        <f>D8/C8</f>
        <v>-0.11384445546003111</v>
      </c>
    </row>
    <row r="10" spans="1:5" x14ac:dyDescent="0.3">
      <c r="A10" s="9" t="s">
        <v>171</v>
      </c>
      <c r="B10" s="9" t="s">
        <v>172</v>
      </c>
      <c r="C10" s="9" t="s">
        <v>178</v>
      </c>
      <c r="D10" s="9" t="s">
        <v>179</v>
      </c>
      <c r="E10" s="9" t="s">
        <v>180</v>
      </c>
    </row>
    <row r="11" spans="1:5" x14ac:dyDescent="0.3">
      <c r="A11" t="s">
        <v>173</v>
      </c>
      <c r="B11" s="10">
        <f>SUMIF(Movies[studio],"Marvel Studios",Movies[revenue USD])</f>
        <v>9054.6</v>
      </c>
      <c r="C11" s="10">
        <v>8000</v>
      </c>
      <c r="D11" s="11">
        <f>B11-C11</f>
        <v>1054.6000000000004</v>
      </c>
      <c r="E11" s="6">
        <f>D11/C11</f>
        <v>0.13182500000000005</v>
      </c>
    </row>
    <row r="12" spans="1:5" x14ac:dyDescent="0.3">
      <c r="A12" t="s">
        <v>174</v>
      </c>
      <c r="B12" s="10">
        <f>SUMIF(Movies[studio],"Marvel Studios",Movies[budget USD])</f>
        <v>1988.7</v>
      </c>
      <c r="C12" s="10">
        <v>2000</v>
      </c>
      <c r="D12" s="11">
        <f>B12-C12</f>
        <v>-11.299999999999955</v>
      </c>
      <c r="E12" s="6">
        <f>D12/C12</f>
        <v>-5.6499999999999771E-3</v>
      </c>
    </row>
    <row r="13" spans="1:5" x14ac:dyDescent="0.3">
      <c r="A13" t="s">
        <v>175</v>
      </c>
      <c r="B13" s="10">
        <f>B11-B12</f>
        <v>7065.9000000000005</v>
      </c>
      <c r="C13" s="10">
        <v>6000</v>
      </c>
      <c r="D13" s="11">
        <f>B13-C13</f>
        <v>1065.9000000000005</v>
      </c>
      <c r="E13" s="6">
        <f>D13/C13</f>
        <v>0.17765000000000009</v>
      </c>
    </row>
    <row r="14" spans="1:5" x14ac:dyDescent="0.3">
      <c r="A14" t="s">
        <v>176</v>
      </c>
      <c r="B14" s="6">
        <f>B13/B12</f>
        <v>3.5530245889274403</v>
      </c>
      <c r="C14" s="6">
        <f>C13/C12</f>
        <v>3</v>
      </c>
      <c r="D14" s="12">
        <f>B14-C14</f>
        <v>0.55302458892744033</v>
      </c>
      <c r="E14" s="6">
        <f>D14/C14</f>
        <v>0.1843415296424801</v>
      </c>
    </row>
    <row r="15" spans="1:5" x14ac:dyDescent="0.3">
      <c r="A15" t="s">
        <v>177</v>
      </c>
      <c r="B15" s="6">
        <f>B11/SUMIF(Movies[industry],"Hollywood",Movies[revenue USD])</f>
        <v>0.48738554949698293</v>
      </c>
      <c r="C15" s="6">
        <v>0.55000000000000004</v>
      </c>
      <c r="D15" s="12">
        <f>B15-C15</f>
        <v>-6.2614450503017116E-2</v>
      </c>
      <c r="E15" s="6">
        <f>D15/C15</f>
        <v>-0.11384445546003111</v>
      </c>
    </row>
  </sheetData>
  <conditionalFormatting sqref="E3:E8">
    <cfRule type="cellIs" dxfId="3" priority="3" operator="lessThan">
      <formula>-0.1</formula>
    </cfRule>
    <cfRule type="cellIs" dxfId="2" priority="4" operator="lessThan">
      <formula>-10</formula>
    </cfRule>
  </conditionalFormatting>
  <conditionalFormatting sqref="E10">
    <cfRule type="cellIs" dxfId="1" priority="1" operator="lessThan">
      <formula>-0.1</formula>
    </cfRule>
    <cfRule type="cellIs" dxfId="0" priority="2" operator="lessThan">
      <formula>-10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3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movies</vt:lpstr>
      <vt:lpstr>financials</vt:lpstr>
      <vt:lpstr>actors</vt:lpstr>
      <vt:lpstr>movie_actor</vt:lpstr>
      <vt:lpstr>languages</vt:lpstr>
      <vt:lpstr>Marvel 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SAHIL BABAR</cp:lastModifiedBy>
  <dcterms:created xsi:type="dcterms:W3CDTF">2015-06-05T18:17:20Z</dcterms:created>
  <dcterms:modified xsi:type="dcterms:W3CDTF">2025-12-04T16:13:35Z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