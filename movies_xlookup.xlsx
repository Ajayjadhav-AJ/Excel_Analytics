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Ajay File's\"/>
    </mc:Choice>
  </mc:AlternateContent>
  <xr:revisionPtr revIDLastSave="0" documentId="13_ncr:1_{BC4FD32C-2C1C-44CB-B576-47BBB68E0CFE}" xr6:coauthVersionLast="47" xr6:coauthVersionMax="47" xr10:uidLastSave="{00000000-0000-0000-0000-000000000000}"/>
  <bookViews>
    <workbookView xWindow="768" yWindow="0" windowWidth="11520" windowHeight="12960" xr2:uid="{00000000-000D-0000-FFFF-FFFF00000000}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  <sheet name="Sheet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 a="1"/>
  <c r="I3" i="1" s="1"/>
  <c r="I4" i="1" a="1"/>
  <c r="I4" i="1" s="1"/>
  <c r="I5" i="1" a="1"/>
  <c r="I5" i="1" s="1"/>
  <c r="I6" i="1" a="1"/>
  <c r="I6" i="1"/>
  <c r="I7" i="1" a="1"/>
  <c r="I7" i="1" s="1"/>
  <c r="I8" i="1" a="1"/>
  <c r="I8" i="1" s="1"/>
  <c r="I9" i="1" a="1"/>
  <c r="I9" i="1" s="1"/>
  <c r="I10" i="1" a="1"/>
  <c r="I10" i="1"/>
  <c r="I11" i="1" a="1"/>
  <c r="I11" i="1" s="1"/>
  <c r="I12" i="1" a="1"/>
  <c r="I12" i="1" s="1"/>
  <c r="I13" i="1" a="1"/>
  <c r="I13" i="1" s="1"/>
  <c r="I14" i="1" a="1"/>
  <c r="I14" i="1"/>
  <c r="I15" i="1" a="1"/>
  <c r="I15" i="1" s="1"/>
  <c r="I16" i="1" a="1"/>
  <c r="I16" i="1" s="1"/>
  <c r="I17" i="1" a="1"/>
  <c r="I17" i="1" s="1"/>
  <c r="I18" i="1" a="1"/>
  <c r="I18" i="1"/>
  <c r="I19" i="1" a="1"/>
  <c r="I19" i="1" s="1"/>
  <c r="I20" i="1" a="1"/>
  <c r="I20" i="1" s="1"/>
  <c r="I21" i="1" a="1"/>
  <c r="I21" i="1" s="1"/>
  <c r="I22" i="1" a="1"/>
  <c r="I22" i="1"/>
  <c r="I23" i="1" a="1"/>
  <c r="I23" i="1" s="1"/>
  <c r="I24" i="1" a="1"/>
  <c r="I24" i="1" s="1"/>
  <c r="I25" i="1" a="1"/>
  <c r="I25" i="1" s="1"/>
  <c r="I26" i="1" a="1"/>
  <c r="I26" i="1"/>
  <c r="I27" i="1" a="1"/>
  <c r="I27" i="1" s="1"/>
  <c r="I28" i="1" a="1"/>
  <c r="I28" i="1" s="1"/>
  <c r="I29" i="1" a="1"/>
  <c r="I29" i="1" s="1"/>
  <c r="I30" i="1" a="1"/>
  <c r="I30" i="1"/>
  <c r="I31" i="1" a="1"/>
  <c r="I31" i="1" s="1"/>
  <c r="I32" i="1" a="1"/>
  <c r="I32" i="1" s="1"/>
  <c r="I33" i="1" a="1"/>
  <c r="I33" i="1" s="1"/>
  <c r="I34" i="1" a="1"/>
  <c r="I34" i="1"/>
  <c r="I35" i="1" a="1"/>
  <c r="I35" i="1" s="1"/>
  <c r="I36" i="1" a="1"/>
  <c r="I36" i="1" s="1"/>
  <c r="I37" i="1" a="1"/>
  <c r="I37" i="1" s="1"/>
  <c r="I38" i="1" a="1"/>
  <c r="I38" i="1"/>
  <c r="I39" i="1" a="1"/>
  <c r="I39" i="1" s="1"/>
  <c r="I40" i="1" a="1"/>
  <c r="I40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/>
  <c r="J15" i="1" a="1"/>
  <c r="J15" i="1" s="1"/>
  <c r="J16" i="1" a="1"/>
  <c r="J16" i="1" s="1"/>
  <c r="J17" i="1" a="1"/>
  <c r="J17" i="1" s="1"/>
  <c r="J18" i="1" a="1"/>
  <c r="J18" i="1"/>
  <c r="J19" i="1" a="1"/>
  <c r="J19" i="1" s="1"/>
  <c r="J20" i="1" a="1"/>
  <c r="J20" i="1" s="1"/>
  <c r="J21" i="1" a="1"/>
  <c r="J21" i="1" s="1"/>
  <c r="J22" i="1" a="1"/>
  <c r="J22" i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K3" i="1" a="1"/>
  <c r="K3" i="1" s="1"/>
  <c r="K4" i="1" a="1"/>
  <c r="K4" i="1" s="1"/>
  <c r="K5" i="1" a="1"/>
  <c r="K5" i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/>
  <c r="K38" i="1" a="1"/>
  <c r="K38" i="1" s="1"/>
  <c r="K39" i="1" a="1"/>
  <c r="K39" i="1" s="1"/>
  <c r="K40" i="1" a="1"/>
  <c r="K40" i="1" s="1"/>
  <c r="J2" i="1" a="1"/>
  <c r="J2" i="1" s="1"/>
  <c r="K2" i="1" a="1"/>
  <c r="K2" i="1" s="1"/>
  <c r="I2" i="1" a="1"/>
  <c r="I2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3" i="1" a="1"/>
  <c r="H3" i="1" s="1"/>
  <c r="H2" i="1" a="1"/>
  <c r="H2" i="1" s="1"/>
  <c r="D6" i="7"/>
  <c r="E10" i="3" a="1"/>
  <c r="E10" i="3" s="1"/>
  <c r="E9" i="3"/>
  <c r="E7" i="3"/>
  <c r="E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<sst xmlns="http://schemas.openxmlformats.org/spreadsheetml/2006/main" count="303" uniqueCount="164">
  <si>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</si>
  <si>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</si>
  <si>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</si>
  <si>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</si>
  <si>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</si>
  <si>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</si>
  <si>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</si>
  <si>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</si>
  <si>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</si>
  <si>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</si>
  <si>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</si>
  <si>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</si>
  <si>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</si>
  <si>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</si>
  <si>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</si>
  <si>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</si>
  <si>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</si>
  <si>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</si>
  <si>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</si>
  <si>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</si>
  <si>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</si>
  <si>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</si>
  <si>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</si>
  <si>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</si>
  <si>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</si>
  <si>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</si>
  <si>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</si>
  <si>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</si>
  <si>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</si>
  <si>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</si>
  <si>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</si>
  <si>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</si>
  <si>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</si>
  <si>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</si>
  <si>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</si>
  <si>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</si>
  <si>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</si>
  <si>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</si>
  <si>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</si>
  <si>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</si>
  <si>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</si>
  <si>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</si>
  <si>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</si>
  <si>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</si>
  <si>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</si>
  <si>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</si>
  <si>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</si>
  <si>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</si>
  <si>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</si>
  <si>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</si>
  <si>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</si>
  <si>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</si>
  <si>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</si>
  <si>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</si>
  <si>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</si>
  <si>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</si>
  <si>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</si>
  <si>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</si>
  <si>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</si>
  <si>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</si>
  <si>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</si>
  <si>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</si>
  <si>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</si>
  <si>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</si>
  <si>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</si>
  <si>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</si>
  <si>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</si>
  <si>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</si>
  <si>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</si>
  <si>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</si>
  <si>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</si>
  <si>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</si>
  <si>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</si>
  <si>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</si>
  <si>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</si>
  <si>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</si>
  <si>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</si>
  <si>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</si>
  <si>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</si>
  <si>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</si>
  <si>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</si>
  <si>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</si>
  <si>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</si>
  <si>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</si>
  <si>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</si>
  <si>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</si>
  <si>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</si>
  <si>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</si>
  <si>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</si>
  <si>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</si>
  <si>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</si>
  <si>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</si>
  <si>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</si>
  <si>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</si>
  <si>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</si>
  <si>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</si>
  <si>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</si>
  <si>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</si>
  <si>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</si>
  <si>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</si>
  <si>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</si>
  <si>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</si>
  <si>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</si>
  <si>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</si>
  <si>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</si>
  <si>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</si>
  <si>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</si>
  <si>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</si>
  <si>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</si>
  <si>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</si>
  <si>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</si>
  <si>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</si>
  <si>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</si>
  <si>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</si>
  <si>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Not Available</t>
  </si>
  <si>
    <t>Hombale Films</t>
  </si>
  <si>
    <t>Government of West Bengal</t>
  </si>
  <si>
    <t>Column1</t>
  </si>
  <si>
    <t>K.G.F: Chapter 2</t>
  </si>
  <si>
    <t>Doctor Strange in the Multiverse of Madness</t>
  </si>
  <si>
    <t>Thor: The Dark World</t>
  </si>
  <si>
    <t>Thor: Ragnarok</t>
  </si>
  <si>
    <t>Thor: Love and Thunder</t>
  </si>
  <si>
    <t>Sholay</t>
  </si>
  <si>
    <t>Dilwale Dulhania Le Jayenge</t>
  </si>
  <si>
    <t>3 Idiots</t>
  </si>
  <si>
    <t>Kabhi Khushi Kabhie Gham</t>
  </si>
  <si>
    <t>Bajirao Mastani</t>
  </si>
  <si>
    <t>The Shawshank Redemption</t>
  </si>
  <si>
    <t>Inception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</si>
  <si>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</si>
  <si>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</si>
  <si>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</si>
  <si>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</si>
  <si>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</si>
  <si>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</si>
  <si>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</si>
  <si>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</si>
  <si>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</si>
  <si>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</si>
  <si>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</si>
  <si>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Avengers: Endgame</t>
  </si>
  <si>
    <t>Avengers: Infinity War</t>
  </si>
  <si>
    <t>Pather Panchali</t>
  </si>
  <si>
    <t>Taare Zameen Par</t>
  </si>
  <si>
    <t>Munna Bhai M.B.B.S.</t>
  </si>
  <si>
    <t>PK</t>
  </si>
  <si>
    <t>Sanju</t>
  </si>
  <si>
    <t>Pushpa: The Rise - Part 1</t>
  </si>
  <si>
    <t>RRR</t>
  </si>
  <si>
    <t>Baahubali: The Beginning</t>
  </si>
  <si>
    <t>The Kashmir Files</t>
  </si>
  <si>
    <t>Bajrangi Bhaijaan</t>
  </si>
  <si>
    <t>Captain America: The First Avenger</t>
  </si>
  <si>
    <t>Captain America: The Winter Soldier</t>
  </si>
  <si>
    <t>Race 3</t>
  </si>
  <si>
    <t>Shershaah</t>
  </si>
  <si>
    <t>title</t>
  </si>
  <si>
    <t>item</t>
  </si>
  <si>
    <t>price</t>
  </si>
  <si>
    <t>dosa</t>
  </si>
  <si>
    <t>burger</t>
  </si>
  <si>
    <t>dumplings</t>
  </si>
  <si>
    <t>samosa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</si>
</sst>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3" borderId="0" xfId="0" applyFont="1" applyFill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K40" totalsRowShown="0" headerRowDxfId="8">
  <autoFilter ref="A1:K40" xr:uid="{6A7FE39D-5614-4A7F-89B7-C167ABC0A251}"/>
  <tableColumns count="11">
    <tableColumn id="1" xr3:uid="{5E453F0D-B27C-433C-BF11-BA3FE1A6822E}" name="movie_id"/>
    <tableColumn id="8" xr3:uid="{AEC53FD7-BF8A-4895-B8F6-DCBA25100657}" name="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14" xr3:uid="{DD2A0151-E545-4BFF-93A3-124AFC8C3768}" name="budget" dataDxfId="7">
      <calculatedColumnFormula array="1">_xlfn.XLOOKUP(Movies[[#This Row],[movie_id]:[movie_id]],Financials[[#All],[movie_id]:[movie_id]],Financials[[#All],[budget]],"Not avalable",0)</calculatedColumnFormula>
    </tableColumn>
    <tableColumn id="19" xr3:uid="{DB0D2613-55BC-4836-9E67-0E5D587EA27B}" name="revenue">
      <calculatedColumnFormula array="1">_xlfn.XLOOKUP(Movies[[#This Row],[movie_id]:[movie_id]],Financials[[#All],[movie_id]:[movie_id]],Financials[[#All],[revenue]],"Not avalable",0)</calculatedColumnFormula>
    </tableColumn>
    <tableColumn id="15" xr3:uid="{4FC460F8-5501-4B3D-B612-AA6EA53F088D}" name="unit" dataDxfId="6">
      <calculatedColumnFormula array="1">_xlfn.XLOOKUP(Movies[[#This Row],[movie_id]:[movie_id]],Financials[[#All],[movie_id]:[movie_id]],Financials[[#All],[revenue]],"Not avalable",0)</calculatedColumnFormula>
    </tableColumn>
    <tableColumn id="16" xr3:uid="{71AF9D00-263F-48BA-A598-7B2DDE3DCFC0}" name="currency" dataDxfId="5">
      <calculatedColumnFormula array="1">_xlfn.XLOOKUP(Movies[[#This Row],[movie_id]:[movie_id]],Financials[[#All],[movie_id]:[movie_id]],Financials[[#All],[unit]],"Not avalable",0)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B1:G41" totalsRowShown="0" headerRowDxfId="4">
  <autoFilter ref="B1:G41" xr:uid="{DCEC907F-917F-4689-8EAB-F7CEF660B9E4}"/>
  <tableColumns count="6">
    <tableColumn id="11" xr3:uid="{3B214738-6712-41C9-A2AE-849DC52F1095}" name="Column1"/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3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2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1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FFF1B8-5E32-4991-97B9-678A159F69C3}" name="food" displayName="food" ref="A1:B5" totalsRowShown="0" headerRowDxfId="0">
  <autoFilter ref="A1:B5" xr:uid="{CBFFF1B8-5E32-4991-97B9-678A159F69C3}"/>
  <tableColumns count="2">
    <tableColumn id="1" xr3:uid="{5870D46B-8ECA-4171-B5FB-5312A13C1564}" name="item"/>
    <tableColumn id="2" xr3:uid="{2C61D844-7207-4690-8472-4A25DD4DA9E0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G1" zoomScale="175" zoomScaleNormal="175" workbookViewId="0">
      <selection activeCell="J39" sqref="J39"/>
    </sheetView>
  </sheetViews>
  <sheetFormatPr defaultRowHeight="14.4" x14ac:dyDescent="0.3"/>
  <cols>
    <col min="1" max="1" width="11.88671875" customWidth="1"/>
    <col min="2" max="2" width="29.6640625" customWidth="1"/>
    <col min="3" max="3" width="10.5546875" bestFit="1" customWidth="1"/>
    <col min="4" max="4" width="5.109375" customWidth="1"/>
    <col min="5" max="5" width="6.109375" customWidth="1"/>
    <col min="6" max="6" width="22" customWidth="1"/>
    <col min="7" max="7" width="6.33203125" customWidth="1"/>
    <col min="8" max="9" width="16.6640625" customWidth="1"/>
    <col min="10" max="10" width="13.109375" customWidth="1"/>
  </cols>
  <sheetData>
    <row r="1" spans="1:11" x14ac:dyDescent="0.3">
      <c r="A1" s="1" t="s">
        <v>0</v>
      </c>
      <c r="B1" s="1" t="s">
        <v>157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x14ac:dyDescent="0.3">
      <c r="A2">
        <v>101</v>
      </c>
      <c r="B2" t="s">
        <v>118</v>
      </c>
      <c r="C2" t="s">
        <v>6</v>
      </c>
      <c r="D2">
        <v>2022</v>
      </c>
      <c r="E2">
        <v>8.4</v>
      </c>
      <c r="F2" t="s">
        <v>115</v>
      </c>
      <c r="G2">
        <v>3</v>
      </c>
      <c r="H2" cm="1">
        <f t="array" ref="H2">_xlfn.XLOOKUP(Movies[[#This Row],[movie_id]:[movie_id]],Financials[[#All],[movie_id]:[movie_id]],Financials[[#All],[budget]],"Not avalable",0)</f>
        <v>1</v>
      </c>
      <c r="I2" cm="1">
        <f t="array" ref="I2">_xlfn.XLOOKUP(Movies[[#This Row],[movie_id]:[movie_id]],Financials[[#All],[movie_id]:[movie_id]],Financials[[#All],[revenue]],"Not avalable",0)</f>
        <v>12.5</v>
      </c>
      <c r="J2" cm="1">
        <f t="array" ref="J2">_xlfn.XLOOKUP(Movies[[#This Row],[movie_id]:[movie_id]],Financials[[#All],[movie_id]:[movie_id]],Financials[[#All],[revenue]],"Not avalable",0)</f>
        <v>12.5</v>
      </c>
      <c r="K2" t="str" cm="1">
        <f t="array" ref="K2">_xlfn.XLOOKUP(Movies[[#This Row],[movie_id]:[movie_id]],Financials[[#All],[movie_id]:[movie_id]],Financials[[#All],[unit]],"Not avalable",0)</f>
        <v>Billions</v>
      </c>
    </row>
    <row r="3" spans="1:11" x14ac:dyDescent="0.3">
      <c r="A3">
        <v>102</v>
      </c>
      <c r="B3" t="s">
        <v>119</v>
      </c>
      <c r="C3" t="s">
        <v>7</v>
      </c>
      <c r="D3">
        <v>2022</v>
      </c>
      <c r="E3">
        <v>7</v>
      </c>
      <c r="F3" t="s">
        <v>8</v>
      </c>
      <c r="G3">
        <v>5</v>
      </c>
      <c r="H3" cm="1">
        <f t="array" ref="H3">_xlfn.XLOOKUP(Movies[[#This Row],[movie_id]:[movie_id]],Financials[[#All],[movie_id]:[movie_id]],Financials[[#All],[budget]],"Not avalable",0)</f>
        <v>200</v>
      </c>
      <c r="I3" cm="1">
        <f t="array" ref="I3">_xlfn.XLOOKUP(Movies[[#This Row],[movie_id]:[movie_id]],Financials[[#All],[movie_id]:[movie_id]],Financials[[#All],[revenue]],"Not avalable",0)</f>
        <v>954.8</v>
      </c>
      <c r="J3" cm="1">
        <f t="array" ref="J3">_xlfn.XLOOKUP(Movies[[#This Row],[movie_id]:[movie_id]],Financials[[#All],[movie_id]:[movie_id]],Financials[[#All],[revenue]],"Not avalable",0)</f>
        <v>954.8</v>
      </c>
      <c r="K3" t="str" cm="1">
        <f t="array" ref="K3">_xlfn.XLOOKUP(Movies[[#This Row],[movie_id]:[movie_id]],Financials[[#All],[movie_id]:[movie_id]],Financials[[#All],[unit]],"Not avalable",0)</f>
        <v>Millions</v>
      </c>
    </row>
    <row r="4" spans="1:11" x14ac:dyDescent="0.3">
      <c r="A4">
        <v>103</v>
      </c>
      <c r="B4" t="s">
        <v>120</v>
      </c>
      <c r="C4" t="s">
        <v>7</v>
      </c>
      <c r="D4">
        <v>2013</v>
      </c>
      <c r="E4">
        <v>6.8</v>
      </c>
      <c r="F4" t="s">
        <v>8</v>
      </c>
      <c r="G4">
        <v>5</v>
      </c>
      <c r="H4" cm="1">
        <f t="array" ref="H4">_xlfn.XLOOKUP(Movies[[#This Row],[movie_id]:[movie_id]],Financials[[#All],[movie_id]:[movie_id]],Financials[[#All],[budget]],"Not avalable",0)</f>
        <v>165</v>
      </c>
      <c r="I4" cm="1">
        <f t="array" ref="I4">_xlfn.XLOOKUP(Movies[[#This Row],[movie_id]:[movie_id]],Financials[[#All],[movie_id]:[movie_id]],Financials[[#All],[revenue]],"Not avalable",0)</f>
        <v>644.79999999999995</v>
      </c>
      <c r="J4" cm="1">
        <f t="array" ref="J4">_xlfn.XLOOKUP(Movies[[#This Row],[movie_id]:[movie_id]],Financials[[#All],[movie_id]:[movie_id]],Financials[[#All],[revenue]],"Not avalable",0)</f>
        <v>644.79999999999995</v>
      </c>
      <c r="K4" t="str" cm="1">
        <f t="array" ref="K4">_xlfn.XLOOKUP(Movies[[#This Row],[movie_id]:[movie_id]],Financials[[#All],[movie_id]:[movie_id]],Financials[[#All],[unit]],"Not avalable",0)</f>
        <v>Millions</v>
      </c>
    </row>
    <row r="5" spans="1:11" x14ac:dyDescent="0.3">
      <c r="A5">
        <v>104</v>
      </c>
      <c r="B5" t="s">
        <v>121</v>
      </c>
      <c r="C5" t="s">
        <v>7</v>
      </c>
      <c r="D5">
        <v>2017</v>
      </c>
      <c r="E5">
        <v>7.9</v>
      </c>
      <c r="F5" t="s">
        <v>8</v>
      </c>
      <c r="G5">
        <v>5</v>
      </c>
      <c r="H5" cm="1">
        <f t="array" ref="H5">_xlfn.XLOOKUP(Movies[[#This Row],[movie_id]:[movie_id]],Financials[[#All],[movie_id]:[movie_id]],Financials[[#All],[budget]],"Not avalable",0)</f>
        <v>180</v>
      </c>
      <c r="I5" cm="1">
        <f t="array" ref="I5">_xlfn.XLOOKUP(Movies[[#This Row],[movie_id]:[movie_id]],Financials[[#All],[movie_id]:[movie_id]],Financials[[#All],[revenue]],"Not avalable",0)</f>
        <v>854</v>
      </c>
      <c r="J5" cm="1">
        <f t="array" ref="J5">_xlfn.XLOOKUP(Movies[[#This Row],[movie_id]:[movie_id]],Financials[[#All],[movie_id]:[movie_id]],Financials[[#All],[revenue]],"Not avalable",0)</f>
        <v>854</v>
      </c>
      <c r="K5" t="str" cm="1">
        <f t="array" ref="K5">_xlfn.XLOOKUP(Movies[[#This Row],[movie_id]:[movie_id]],Financials[[#All],[movie_id]:[movie_id]],Financials[[#All],[unit]],"Not avalable",0)</f>
        <v>Millions</v>
      </c>
    </row>
    <row r="6" spans="1:11" x14ac:dyDescent="0.3">
      <c r="A6">
        <v>105</v>
      </c>
      <c r="B6" t="s">
        <v>122</v>
      </c>
      <c r="C6" t="s">
        <v>7</v>
      </c>
      <c r="D6">
        <v>2022</v>
      </c>
      <c r="E6">
        <v>6.8</v>
      </c>
      <c r="F6" t="s">
        <v>8</v>
      </c>
      <c r="G6">
        <v>5</v>
      </c>
      <c r="H6" cm="1">
        <f t="array" ref="H6">_xlfn.XLOOKUP(Movies[[#This Row],[movie_id]:[movie_id]],Financials[[#All],[movie_id]:[movie_id]],Financials[[#All],[budget]],"Not avalable",0)</f>
        <v>250</v>
      </c>
      <c r="I6" cm="1">
        <f t="array" ref="I6">_xlfn.XLOOKUP(Movies[[#This Row],[movie_id]:[movie_id]],Financials[[#All],[movie_id]:[movie_id]],Financials[[#All],[revenue]],"Not avalable",0)</f>
        <v>670</v>
      </c>
      <c r="J6" cm="1">
        <f t="array" ref="J6">_xlfn.XLOOKUP(Movies[[#This Row],[movie_id]:[movie_id]],Financials[[#All],[movie_id]:[movie_id]],Financials[[#All],[revenue]],"Not avalable",0)</f>
        <v>670</v>
      </c>
      <c r="K6" t="str" cm="1">
        <f t="array" ref="K6">_xlfn.XLOOKUP(Movies[[#This Row],[movie_id]:[movie_id]],Financials[[#All],[movie_id]:[movie_id]],Financials[[#All],[unit]],"Not avalable",0)</f>
        <v>Millions</v>
      </c>
    </row>
    <row r="7" spans="1:11" x14ac:dyDescent="0.3">
      <c r="A7">
        <v>106</v>
      </c>
      <c r="B7" t="s">
        <v>123</v>
      </c>
      <c r="C7" t="s">
        <v>6</v>
      </c>
      <c r="D7">
        <v>1975</v>
      </c>
      <c r="E7">
        <v>8.1</v>
      </c>
      <c r="F7" t="s">
        <v>9</v>
      </c>
      <c r="G7">
        <v>1</v>
      </c>
      <c r="H7" t="str" cm="1">
        <f t="array" ref="H7">_xlfn.XLOOKUP(Movies[[#This Row],[movie_id]:[movie_id]],Financials[[#All],[movie_id]:[movie_id]],Financials[[#All],[budget]],"Not avalable",0)</f>
        <v>Not avalable</v>
      </c>
      <c r="I7" t="str" cm="1">
        <f t="array" ref="I7">_xlfn.XLOOKUP(Movies[[#This Row],[movie_id]:[movie_id]],Financials[[#All],[movie_id]:[movie_id]],Financials[[#All],[revenue]],"Not avalable",0)</f>
        <v>Not avalable</v>
      </c>
      <c r="J7" t="str" cm="1">
        <f t="array" ref="J7">_xlfn.XLOOKUP(Movies[[#This Row],[movie_id]:[movie_id]],Financials[[#All],[movie_id]:[movie_id]],Financials[[#All],[revenue]],"Not avalable",0)</f>
        <v>Not avalable</v>
      </c>
      <c r="K7" t="str" cm="1">
        <f t="array" ref="K7">_xlfn.XLOOKUP(Movies[[#This Row],[movie_id]:[movie_id]],Financials[[#All],[movie_id]:[movie_id]],Financials[[#All],[unit]],"Not avalable",0)</f>
        <v>Not avalable</v>
      </c>
    </row>
    <row r="8" spans="1:11" x14ac:dyDescent="0.3">
      <c r="A8">
        <v>107</v>
      </c>
      <c r="B8" t="s">
        <v>124</v>
      </c>
      <c r="C8" t="s">
        <v>6</v>
      </c>
      <c r="D8">
        <v>1995</v>
      </c>
      <c r="E8">
        <v>8</v>
      </c>
      <c r="F8" t="s">
        <v>10</v>
      </c>
      <c r="G8">
        <v>1</v>
      </c>
      <c r="H8" cm="1">
        <f t="array" ref="H8">_xlfn.XLOOKUP(Movies[[#This Row],[movie_id]:[movie_id]],Financials[[#All],[movie_id]:[movie_id]],Financials[[#All],[budget]],"Not avalable",0)</f>
        <v>400</v>
      </c>
      <c r="I8" cm="1">
        <f t="array" ref="I8">_xlfn.XLOOKUP(Movies[[#This Row],[movie_id]:[movie_id]],Financials[[#All],[movie_id]:[movie_id]],Financials[[#All],[revenue]],"Not avalable",0)</f>
        <v>2000</v>
      </c>
      <c r="J8" cm="1">
        <f t="array" ref="J8">_xlfn.XLOOKUP(Movies[[#This Row],[movie_id]:[movie_id]],Financials[[#All],[movie_id]:[movie_id]],Financials[[#All],[revenue]],"Not avalable",0)</f>
        <v>2000</v>
      </c>
      <c r="K8" t="str" cm="1">
        <f t="array" ref="K8">_xlfn.XLOOKUP(Movies[[#This Row],[movie_id]:[movie_id]],Financials[[#All],[movie_id]:[movie_id]],Financials[[#All],[unit]],"Not avalable",0)</f>
        <v>Millions</v>
      </c>
    </row>
    <row r="9" spans="1:11" x14ac:dyDescent="0.3">
      <c r="A9">
        <v>108</v>
      </c>
      <c r="B9" t="s">
        <v>125</v>
      </c>
      <c r="C9" t="s">
        <v>6</v>
      </c>
      <c r="D9">
        <v>2009</v>
      </c>
      <c r="E9">
        <v>8.4</v>
      </c>
      <c r="F9" t="s">
        <v>11</v>
      </c>
      <c r="G9">
        <v>1</v>
      </c>
      <c r="H9" cm="1">
        <f t="array" ref="H9">_xlfn.XLOOKUP(Movies[[#This Row],[movie_id]:[movie_id]],Financials[[#All],[movie_id]:[movie_id]],Financials[[#All],[budget]],"Not avalable",0)</f>
        <v>550</v>
      </c>
      <c r="I9" cm="1">
        <f t="array" ref="I9">_xlfn.XLOOKUP(Movies[[#This Row],[movie_id]:[movie_id]],Financials[[#All],[movie_id]:[movie_id]],Financials[[#All],[revenue]],"Not avalable",0)</f>
        <v>4000</v>
      </c>
      <c r="J9" cm="1">
        <f t="array" ref="J9">_xlfn.XLOOKUP(Movies[[#This Row],[movie_id]:[movie_id]],Financials[[#All],[movie_id]:[movie_id]],Financials[[#All],[revenue]],"Not avalable",0)</f>
        <v>4000</v>
      </c>
      <c r="K9" t="str" cm="1">
        <f t="array" ref="K9">_xlfn.XLOOKUP(Movies[[#This Row],[movie_id]:[movie_id]],Financials[[#All],[movie_id]:[movie_id]],Financials[[#All],[unit]],"Not avalable",0)</f>
        <v>Millions</v>
      </c>
    </row>
    <row r="10" spans="1:11" x14ac:dyDescent="0.3">
      <c r="A10">
        <v>109</v>
      </c>
      <c r="B10" t="s">
        <v>126</v>
      </c>
      <c r="C10" t="s">
        <v>6</v>
      </c>
      <c r="D10">
        <v>2001</v>
      </c>
      <c r="E10">
        <v>7.4</v>
      </c>
      <c r="F10" t="s">
        <v>12</v>
      </c>
      <c r="G10">
        <v>1</v>
      </c>
      <c r="H10" cm="1">
        <f t="array" ref="H10">_xlfn.XLOOKUP(Movies[[#This Row],[movie_id]:[movie_id]],Financials[[#All],[movie_id]:[movie_id]],Financials[[#All],[budget]],"Not avalable",0)</f>
        <v>390</v>
      </c>
      <c r="I10" cm="1">
        <f t="array" ref="I10">_xlfn.XLOOKUP(Movies[[#This Row],[movie_id]:[movie_id]],Financials[[#All],[movie_id]:[movie_id]],Financials[[#All],[revenue]],"Not avalable",0)</f>
        <v>1360</v>
      </c>
      <c r="J10" cm="1">
        <f t="array" ref="J10">_xlfn.XLOOKUP(Movies[[#This Row],[movie_id]:[movie_id]],Financials[[#All],[movie_id]:[movie_id]],Financials[[#All],[revenue]],"Not avalable",0)</f>
        <v>1360</v>
      </c>
      <c r="K10" t="str" cm="1">
        <f t="array" ref="K10">_xlfn.XLOOKUP(Movies[[#This Row],[movie_id]:[movie_id]],Financials[[#All],[movie_id]:[movie_id]],Financials[[#All],[unit]],"Not avalable",0)</f>
        <v>Millions</v>
      </c>
    </row>
    <row r="11" spans="1:11" x14ac:dyDescent="0.3">
      <c r="A11">
        <v>110</v>
      </c>
      <c r="B11" t="s">
        <v>127</v>
      </c>
      <c r="C11" t="s">
        <v>6</v>
      </c>
      <c r="D11">
        <v>2015</v>
      </c>
      <c r="E11">
        <v>7.2</v>
      </c>
      <c r="F11" t="s">
        <v>114</v>
      </c>
      <c r="G11">
        <v>1</v>
      </c>
      <c r="H11" cm="1">
        <f t="array" ref="H11">_xlfn.XLOOKUP(Movies[[#This Row],[movie_id]:[movie_id]],Financials[[#All],[movie_id]:[movie_id]],Financials[[#All],[budget]],"Not avalable",0)</f>
        <v>1.4</v>
      </c>
      <c r="I11" cm="1">
        <f t="array" ref="I11">_xlfn.XLOOKUP(Movies[[#This Row],[movie_id]:[movie_id]],Financials[[#All],[movie_id]:[movie_id]],Financials[[#All],[revenue]],"Not avalable",0)</f>
        <v>3.5</v>
      </c>
      <c r="J11" cm="1">
        <f t="array" ref="J11">_xlfn.XLOOKUP(Movies[[#This Row],[movie_id]:[movie_id]],Financials[[#All],[movie_id]:[movie_id]],Financials[[#All],[revenue]],"Not avalable",0)</f>
        <v>3.5</v>
      </c>
      <c r="K11" t="str" cm="1">
        <f t="array" ref="K11">_xlfn.XLOOKUP(Movies[[#This Row],[movie_id]:[movie_id]],Financials[[#All],[movie_id]:[movie_id]],Financials[[#All],[unit]],"Not avalable",0)</f>
        <v>Billions</v>
      </c>
    </row>
    <row r="12" spans="1:11" x14ac:dyDescent="0.3">
      <c r="A12">
        <v>111</v>
      </c>
      <c r="B12" t="s">
        <v>128</v>
      </c>
      <c r="C12" t="s">
        <v>7</v>
      </c>
      <c r="D12">
        <v>1994</v>
      </c>
      <c r="E12">
        <v>9.3000000000000007</v>
      </c>
      <c r="F12" t="s">
        <v>13</v>
      </c>
      <c r="G12">
        <v>5</v>
      </c>
      <c r="H12" cm="1">
        <f t="array" ref="H12">_xlfn.XLOOKUP(Movies[[#This Row],[movie_id]:[movie_id]],Financials[[#All],[movie_id]:[movie_id]],Financials[[#All],[budget]],"Not avalable",0)</f>
        <v>25</v>
      </c>
      <c r="I12" cm="1">
        <f t="array" ref="I12">_xlfn.XLOOKUP(Movies[[#This Row],[movie_id]:[movie_id]],Financials[[#All],[movie_id]:[movie_id]],Financials[[#All],[revenue]],"Not avalable",0)</f>
        <v>73.3</v>
      </c>
      <c r="J12" cm="1">
        <f t="array" ref="J12">_xlfn.XLOOKUP(Movies[[#This Row],[movie_id]:[movie_id]],Financials[[#All],[movie_id]:[movie_id]],Financials[[#All],[revenue]],"Not avalable",0)</f>
        <v>73.3</v>
      </c>
      <c r="K12" t="str" cm="1">
        <f t="array" ref="K12">_xlfn.XLOOKUP(Movies[[#This Row],[movie_id]:[movie_id]],Financials[[#All],[movie_id]:[movie_id]],Financials[[#All],[unit]],"Not avalable",0)</f>
        <v>Millions</v>
      </c>
    </row>
    <row r="13" spans="1:11" x14ac:dyDescent="0.3">
      <c r="A13">
        <v>112</v>
      </c>
      <c r="B13" t="s">
        <v>129</v>
      </c>
      <c r="C13" t="s">
        <v>7</v>
      </c>
      <c r="D13">
        <v>2010</v>
      </c>
      <c r="E13">
        <v>8.8000000000000007</v>
      </c>
      <c r="F13" t="s">
        <v>14</v>
      </c>
      <c r="G13">
        <v>5</v>
      </c>
      <c r="H13" t="str" cm="1">
        <f t="array" ref="H13">_xlfn.XLOOKUP(Movies[[#This Row],[movie_id]:[movie_id]],Financials[[#All],[movie_id]:[movie_id]],Financials[[#All],[budget]],"Not avalable",0)</f>
        <v>Not avalable</v>
      </c>
      <c r="I13" t="str" cm="1">
        <f t="array" ref="I13">_xlfn.XLOOKUP(Movies[[#This Row],[movie_id]:[movie_id]],Financials[[#All],[movie_id]:[movie_id]],Financials[[#All],[revenue]],"Not avalable",0)</f>
        <v>Not avalable</v>
      </c>
      <c r="J13" t="str" cm="1">
        <f t="array" ref="J13">_xlfn.XLOOKUP(Movies[[#This Row],[movie_id]:[movie_id]],Financials[[#All],[movie_id]:[movie_id]],Financials[[#All],[revenue]],"Not avalable",0)</f>
        <v>Not avalable</v>
      </c>
      <c r="K13" t="str" cm="1">
        <f t="array" ref="K13">_xlfn.XLOOKUP(Movies[[#This Row],[movie_id]:[movie_id]],Financials[[#All],[movie_id]:[movie_id]],Financials[[#All],[unit]],"Not avalable",0)</f>
        <v>Not avalable</v>
      </c>
    </row>
    <row r="14" spans="1:11" x14ac:dyDescent="0.3">
      <c r="A14">
        <v>113</v>
      </c>
      <c r="B14" t="s">
        <v>130</v>
      </c>
      <c r="C14" t="s">
        <v>7</v>
      </c>
      <c r="D14">
        <v>2014</v>
      </c>
      <c r="E14">
        <v>8.6</v>
      </c>
      <c r="F14" t="s">
        <v>14</v>
      </c>
      <c r="G14">
        <v>5</v>
      </c>
      <c r="H14" cm="1">
        <f t="array" ref="H14">_xlfn.XLOOKUP(Movies[[#This Row],[movie_id]:[movie_id]],Financials[[#All],[movie_id]:[movie_id]],Financials[[#All],[budget]],"Not avalable",0)</f>
        <v>165</v>
      </c>
      <c r="I14" cm="1">
        <f t="array" ref="I14">_xlfn.XLOOKUP(Movies[[#This Row],[movie_id]:[movie_id]],Financials[[#All],[movie_id]:[movie_id]],Financials[[#All],[revenue]],"Not avalable",0)</f>
        <v>701.8</v>
      </c>
      <c r="J14" cm="1">
        <f t="array" ref="J14">_xlfn.XLOOKUP(Movies[[#This Row],[movie_id]:[movie_id]],Financials[[#All],[movie_id]:[movie_id]],Financials[[#All],[revenue]],"Not avalable",0)</f>
        <v>701.8</v>
      </c>
      <c r="K14" t="str" cm="1">
        <f t="array" ref="K14">_xlfn.XLOOKUP(Movies[[#This Row],[movie_id]:[movie_id]],Financials[[#All],[movie_id]:[movie_id]],Financials[[#All],[unit]],"Not avalable",0)</f>
        <v>Millions</v>
      </c>
    </row>
    <row r="15" spans="1:11" x14ac:dyDescent="0.3">
      <c r="A15">
        <v>115</v>
      </c>
      <c r="B15" t="s">
        <v>131</v>
      </c>
      <c r="C15" t="s">
        <v>7</v>
      </c>
      <c r="D15">
        <v>2006</v>
      </c>
      <c r="E15">
        <v>8</v>
      </c>
      <c r="F15" t="s">
        <v>15</v>
      </c>
      <c r="G15">
        <v>5</v>
      </c>
      <c r="H15" cm="1">
        <f t="array" ref="H15">_xlfn.XLOOKUP(Movies[[#This Row],[movie_id]:[movie_id]],Financials[[#All],[movie_id]:[movie_id]],Financials[[#All],[budget]],"Not avalable",0)</f>
        <v>55</v>
      </c>
      <c r="I15" cm="1">
        <f t="array" ref="I15">_xlfn.XLOOKUP(Movies[[#This Row],[movie_id]:[movie_id]],Financials[[#All],[movie_id]:[movie_id]],Financials[[#All],[revenue]],"Not avalable",0)</f>
        <v>307.10000000000002</v>
      </c>
      <c r="J15" cm="1">
        <f t="array" ref="J15">_xlfn.XLOOKUP(Movies[[#This Row],[movie_id]:[movie_id]],Financials[[#All],[movie_id]:[movie_id]],Financials[[#All],[revenue]],"Not avalable",0)</f>
        <v>307.10000000000002</v>
      </c>
      <c r="K15" t="str" cm="1">
        <f t="array" ref="K15">_xlfn.XLOOKUP(Movies[[#This Row],[movie_id]:[movie_id]],Financials[[#All],[movie_id]:[movie_id]],Financials[[#All],[unit]],"Not avalable",0)</f>
        <v>Millions</v>
      </c>
    </row>
    <row r="16" spans="1:11" x14ac:dyDescent="0.3">
      <c r="A16">
        <v>116</v>
      </c>
      <c r="B16" t="s">
        <v>132</v>
      </c>
      <c r="C16" t="s">
        <v>7</v>
      </c>
      <c r="D16">
        <v>2000</v>
      </c>
      <c r="E16">
        <v>8.5</v>
      </c>
      <c r="F16" t="s">
        <v>20</v>
      </c>
      <c r="G16">
        <v>5</v>
      </c>
      <c r="H16" cm="1">
        <f t="array" ref="H16">_xlfn.XLOOKUP(Movies[[#This Row],[movie_id]:[movie_id]],Financials[[#All],[movie_id]:[movie_id]],Financials[[#All],[budget]],"Not avalable",0)</f>
        <v>103</v>
      </c>
      <c r="I16" cm="1">
        <f t="array" ref="I16">_xlfn.XLOOKUP(Movies[[#This Row],[movie_id]:[movie_id]],Financials[[#All],[movie_id]:[movie_id]],Financials[[#All],[revenue]],"Not avalable",0)</f>
        <v>460.5</v>
      </c>
      <c r="J16" cm="1">
        <f t="array" ref="J16">_xlfn.XLOOKUP(Movies[[#This Row],[movie_id]:[movie_id]],Financials[[#All],[movie_id]:[movie_id]],Financials[[#All],[revenue]],"Not avalable",0)</f>
        <v>460.5</v>
      </c>
      <c r="K16" t="str" cm="1">
        <f t="array" ref="K16">_xlfn.XLOOKUP(Movies[[#This Row],[movie_id]:[movie_id]],Financials[[#All],[movie_id]:[movie_id]],Financials[[#All],[unit]],"Not avalable",0)</f>
        <v>Millions</v>
      </c>
    </row>
    <row r="17" spans="1:11" x14ac:dyDescent="0.3">
      <c r="A17">
        <v>117</v>
      </c>
      <c r="B17" t="s">
        <v>133</v>
      </c>
      <c r="C17" t="s">
        <v>7</v>
      </c>
      <c r="D17">
        <v>1997</v>
      </c>
      <c r="E17">
        <v>7.9</v>
      </c>
      <c r="F17" t="s">
        <v>16</v>
      </c>
      <c r="G17">
        <v>5</v>
      </c>
      <c r="H17" cm="1">
        <f t="array" ref="H17">_xlfn.XLOOKUP(Movies[[#This Row],[movie_id]:[movie_id]],Financials[[#All],[movie_id]:[movie_id]],Financials[[#All],[budget]],"Not avalable",0)</f>
        <v>200</v>
      </c>
      <c r="I17" cm="1">
        <f t="array" ref="I17">_xlfn.XLOOKUP(Movies[[#This Row],[movie_id]:[movie_id]],Financials[[#All],[movie_id]:[movie_id]],Financials[[#All],[revenue]],"Not avalable",0)</f>
        <v>2202</v>
      </c>
      <c r="J17" cm="1">
        <f t="array" ref="J17">_xlfn.XLOOKUP(Movies[[#This Row],[movie_id]:[movie_id]],Financials[[#All],[movie_id]:[movie_id]],Financials[[#All],[revenue]],"Not avalable",0)</f>
        <v>2202</v>
      </c>
      <c r="K17" t="str" cm="1">
        <f t="array" ref="K17">_xlfn.XLOOKUP(Movies[[#This Row],[movie_id]:[movie_id]],Financials[[#All],[movie_id]:[movie_id]],Financials[[#All],[unit]],"Not avalable",0)</f>
        <v>Millions</v>
      </c>
    </row>
    <row r="18" spans="1:11" x14ac:dyDescent="0.3">
      <c r="A18">
        <v>118</v>
      </c>
      <c r="B18" t="s">
        <v>134</v>
      </c>
      <c r="C18" t="s">
        <v>7</v>
      </c>
      <c r="D18">
        <v>1946</v>
      </c>
      <c r="E18">
        <v>8.6</v>
      </c>
      <c r="F18" t="s">
        <v>17</v>
      </c>
      <c r="G18">
        <v>5</v>
      </c>
      <c r="H18" cm="1">
        <f t="array" ref="H18">_xlfn.XLOOKUP(Movies[[#This Row],[movie_id]:[movie_id]],Financials[[#All],[movie_id]:[movie_id]],Financials[[#All],[budget]],"Not avalable",0)</f>
        <v>3.18</v>
      </c>
      <c r="I18" cm="1">
        <f t="array" ref="I18">_xlfn.XLOOKUP(Movies[[#This Row],[movie_id]:[movie_id]],Financials[[#All],[movie_id]:[movie_id]],Financials[[#All],[revenue]],"Not avalable",0)</f>
        <v>3.3</v>
      </c>
      <c r="J18" cm="1">
        <f t="array" ref="J18">_xlfn.XLOOKUP(Movies[[#This Row],[movie_id]:[movie_id]],Financials[[#All],[movie_id]:[movie_id]],Financials[[#All],[revenue]],"Not avalable",0)</f>
        <v>3.3</v>
      </c>
      <c r="K18" t="str" cm="1">
        <f t="array" ref="K18">_xlfn.XLOOKUP(Movies[[#This Row],[movie_id]:[movie_id]],Financials[[#All],[movie_id]:[movie_id]],Financials[[#All],[unit]],"Not avalable",0)</f>
        <v>Millions</v>
      </c>
    </row>
    <row r="19" spans="1:11" x14ac:dyDescent="0.3">
      <c r="A19">
        <v>119</v>
      </c>
      <c r="B19" t="s">
        <v>135</v>
      </c>
      <c r="C19" t="s">
        <v>7</v>
      </c>
      <c r="D19">
        <v>2009</v>
      </c>
      <c r="E19">
        <v>7.8</v>
      </c>
      <c r="F19" t="s">
        <v>18</v>
      </c>
      <c r="G19">
        <v>5</v>
      </c>
      <c r="H19" cm="1">
        <f t="array" ref="H19">_xlfn.XLOOKUP(Movies[[#This Row],[movie_id]:[movie_id]],Financials[[#All],[movie_id]:[movie_id]],Financials[[#All],[budget]],"Not avalable",0)</f>
        <v>237</v>
      </c>
      <c r="I19" cm="1">
        <f t="array" ref="I19">_xlfn.XLOOKUP(Movies[[#This Row],[movie_id]:[movie_id]],Financials[[#All],[movie_id]:[movie_id]],Financials[[#All],[revenue]],"Not avalable",0)</f>
        <v>2847</v>
      </c>
      <c r="J19" cm="1">
        <f t="array" ref="J19">_xlfn.XLOOKUP(Movies[[#This Row],[movie_id]:[movie_id]],Financials[[#All],[movie_id]:[movie_id]],Financials[[#All],[revenue]],"Not avalable",0)</f>
        <v>2847</v>
      </c>
      <c r="K19" t="str" cm="1">
        <f t="array" ref="K19">_xlfn.XLOOKUP(Movies[[#This Row],[movie_id]:[movie_id]],Financials[[#All],[movie_id]:[movie_id]],Financials[[#All],[unit]],"Not avalable",0)</f>
        <v>Millions</v>
      </c>
    </row>
    <row r="20" spans="1:11" x14ac:dyDescent="0.3">
      <c r="A20">
        <v>120</v>
      </c>
      <c r="B20" t="s">
        <v>136</v>
      </c>
      <c r="C20" t="s">
        <v>7</v>
      </c>
      <c r="D20">
        <v>1972</v>
      </c>
      <c r="E20">
        <v>9.1999999999999993</v>
      </c>
      <c r="F20" t="s">
        <v>16</v>
      </c>
      <c r="G20">
        <v>5</v>
      </c>
      <c r="H20" cm="1">
        <f t="array" ref="H20">_xlfn.XLOOKUP(Movies[[#This Row],[movie_id]:[movie_id]],Financials[[#All],[movie_id]:[movie_id]],Financials[[#All],[budget]],"Not avalable",0)</f>
        <v>7.2</v>
      </c>
      <c r="I20" cm="1">
        <f t="array" ref="I20">_xlfn.XLOOKUP(Movies[[#This Row],[movie_id]:[movie_id]],Financials[[#All],[movie_id]:[movie_id]],Financials[[#All],[revenue]],"Not avalable",0)</f>
        <v>291</v>
      </c>
      <c r="J20" cm="1">
        <f t="array" ref="J20">_xlfn.XLOOKUP(Movies[[#This Row],[movie_id]:[movie_id]],Financials[[#All],[movie_id]:[movie_id]],Financials[[#All],[revenue]],"Not avalable",0)</f>
        <v>291</v>
      </c>
      <c r="K20" t="str" cm="1">
        <f t="array" ref="K20">_xlfn.XLOOKUP(Movies[[#This Row],[movie_id]:[movie_id]],Financials[[#All],[movie_id]:[movie_id]],Financials[[#All],[unit]],"Not avalable",0)</f>
        <v>Millions</v>
      </c>
    </row>
    <row r="21" spans="1:11" x14ac:dyDescent="0.3">
      <c r="A21">
        <v>121</v>
      </c>
      <c r="B21" t="s">
        <v>137</v>
      </c>
      <c r="C21" t="s">
        <v>7</v>
      </c>
      <c r="D21">
        <v>2008</v>
      </c>
      <c r="E21">
        <v>9</v>
      </c>
      <c r="F21" t="s">
        <v>19</v>
      </c>
      <c r="G21">
        <v>5</v>
      </c>
      <c r="H21" cm="1">
        <f t="array" ref="H21">_xlfn.XLOOKUP(Movies[[#This Row],[movie_id]:[movie_id]],Financials[[#All],[movie_id]:[movie_id]],Financials[[#All],[budget]],"Not avalable",0)</f>
        <v>185</v>
      </c>
      <c r="I21" cm="1">
        <f t="array" ref="I21">_xlfn.XLOOKUP(Movies[[#This Row],[movie_id]:[movie_id]],Financials[[#All],[movie_id]:[movie_id]],Financials[[#All],[revenue]],"Not avalable",0)</f>
        <v>1006</v>
      </c>
      <c r="J21" cm="1">
        <f t="array" ref="J21">_xlfn.XLOOKUP(Movies[[#This Row],[movie_id]:[movie_id]],Financials[[#All],[movie_id]:[movie_id]],Financials[[#All],[revenue]],"Not avalable",0)</f>
        <v>1006</v>
      </c>
      <c r="K21" t="str" cm="1">
        <f t="array" ref="K21">_xlfn.XLOOKUP(Movies[[#This Row],[movie_id]:[movie_id]],Financials[[#All],[movie_id]:[movie_id]],Financials[[#All],[unit]],"Not avalable",0)</f>
        <v>Millions</v>
      </c>
    </row>
    <row r="22" spans="1:11" x14ac:dyDescent="0.3">
      <c r="A22">
        <v>122</v>
      </c>
      <c r="B22" t="s">
        <v>138</v>
      </c>
      <c r="C22" t="s">
        <v>7</v>
      </c>
      <c r="D22">
        <v>1993</v>
      </c>
      <c r="E22">
        <v>9</v>
      </c>
      <c r="F22" t="s">
        <v>20</v>
      </c>
      <c r="G22">
        <v>5</v>
      </c>
      <c r="H22" cm="1">
        <f t="array" ref="H22">_xlfn.XLOOKUP(Movies[[#This Row],[movie_id]:[movie_id]],Financials[[#All],[movie_id]:[movie_id]],Financials[[#All],[budget]],"Not avalable",0)</f>
        <v>22</v>
      </c>
      <c r="I22" cm="1">
        <f t="array" ref="I22">_xlfn.XLOOKUP(Movies[[#This Row],[movie_id]:[movie_id]],Financials[[#All],[movie_id]:[movie_id]],Financials[[#All],[revenue]],"Not avalable",0)</f>
        <v>322.2</v>
      </c>
      <c r="J22" cm="1">
        <f t="array" ref="J22">_xlfn.XLOOKUP(Movies[[#This Row],[movie_id]:[movie_id]],Financials[[#All],[movie_id]:[movie_id]],Financials[[#All],[revenue]],"Not avalable",0)</f>
        <v>322.2</v>
      </c>
      <c r="K22" t="str" cm="1">
        <f t="array" ref="K22">_xlfn.XLOOKUP(Movies[[#This Row],[movie_id]:[movie_id]],Financials[[#All],[movie_id]:[movie_id]],Financials[[#All],[unit]],"Not avalable",0)</f>
        <v>Millions</v>
      </c>
    </row>
    <row r="23" spans="1:11" x14ac:dyDescent="0.3">
      <c r="A23">
        <v>123</v>
      </c>
      <c r="B23" t="s">
        <v>139</v>
      </c>
      <c r="C23" t="s">
        <v>7</v>
      </c>
      <c r="D23">
        <v>1993</v>
      </c>
      <c r="E23">
        <v>8.1999999999999993</v>
      </c>
      <c r="F23" t="s">
        <v>20</v>
      </c>
      <c r="G23">
        <v>5</v>
      </c>
      <c r="H23" cm="1">
        <f t="array" ref="H23">_xlfn.XLOOKUP(Movies[[#This Row],[movie_id]:[movie_id]],Financials[[#All],[movie_id]:[movie_id]],Financials[[#All],[budget]],"Not avalable",0)</f>
        <v>63</v>
      </c>
      <c r="I23" cm="1">
        <f t="array" ref="I23">_xlfn.XLOOKUP(Movies[[#This Row],[movie_id]:[movie_id]],Financials[[#All],[movie_id]:[movie_id]],Financials[[#All],[revenue]],"Not avalable",0)</f>
        <v>1046</v>
      </c>
      <c r="J23" cm="1">
        <f t="array" ref="J23">_xlfn.XLOOKUP(Movies[[#This Row],[movie_id]:[movie_id]],Financials[[#All],[movie_id]:[movie_id]],Financials[[#All],[revenue]],"Not avalable",0)</f>
        <v>1046</v>
      </c>
      <c r="K23" t="str" cm="1">
        <f t="array" ref="K23">_xlfn.XLOOKUP(Movies[[#This Row],[movie_id]:[movie_id]],Financials[[#All],[movie_id]:[movie_id]],Financials[[#All],[unit]],"Not avalable",0)</f>
        <v>Millions</v>
      </c>
    </row>
    <row r="24" spans="1:11" x14ac:dyDescent="0.3">
      <c r="A24">
        <v>124</v>
      </c>
      <c r="B24" t="s">
        <v>140</v>
      </c>
      <c r="C24" t="s">
        <v>7</v>
      </c>
      <c r="D24">
        <v>2019</v>
      </c>
      <c r="E24">
        <v>8.5</v>
      </c>
      <c r="F24" t="s">
        <v>114</v>
      </c>
      <c r="G24">
        <v>5</v>
      </c>
      <c r="H24" cm="1">
        <f t="array" ref="H24">_xlfn.XLOOKUP(Movies[[#This Row],[movie_id]:[movie_id]],Financials[[#All],[movie_id]:[movie_id]],Financials[[#All],[budget]],"Not avalable",0)</f>
        <v>15.5</v>
      </c>
      <c r="I24" cm="1">
        <f t="array" ref="I24">_xlfn.XLOOKUP(Movies[[#This Row],[movie_id]:[movie_id]],Financials[[#All],[movie_id]:[movie_id]],Financials[[#All],[revenue]],"Not avalable",0)</f>
        <v>263.10000000000002</v>
      </c>
      <c r="J24" cm="1">
        <f t="array" ref="J24">_xlfn.XLOOKUP(Movies[[#This Row],[movie_id]:[movie_id]],Financials[[#All],[movie_id]:[movie_id]],Financials[[#All],[revenue]],"Not avalable",0)</f>
        <v>263.10000000000002</v>
      </c>
      <c r="K24" t="str" cm="1">
        <f t="array" ref="K24">_xlfn.XLOOKUP(Movies[[#This Row],[movie_id]:[movie_id]],Financials[[#All],[movie_id]:[movie_id]],Financials[[#All],[unit]],"Not avalable",0)</f>
        <v>Millions</v>
      </c>
    </row>
    <row r="25" spans="1:11" x14ac:dyDescent="0.3">
      <c r="A25">
        <v>125</v>
      </c>
      <c r="B25" t="s">
        <v>141</v>
      </c>
      <c r="C25" t="s">
        <v>7</v>
      </c>
      <c r="D25">
        <v>2019</v>
      </c>
      <c r="E25">
        <v>8.4</v>
      </c>
      <c r="F25" t="s">
        <v>8</v>
      </c>
      <c r="G25">
        <v>5</v>
      </c>
      <c r="H25" cm="1">
        <f t="array" ref="H25">_xlfn.XLOOKUP(Movies[[#This Row],[movie_id]:[movie_id]],Financials[[#All],[movie_id]:[movie_id]],Financials[[#All],[budget]],"Not avalable",0)</f>
        <v>400</v>
      </c>
      <c r="I25" cm="1">
        <f t="array" ref="I25">_xlfn.XLOOKUP(Movies[[#This Row],[movie_id]:[movie_id]],Financials[[#All],[movie_id]:[movie_id]],Financials[[#All],[revenue]],"Not avalable",0)</f>
        <v>2798</v>
      </c>
      <c r="J25" cm="1">
        <f t="array" ref="J25">_xlfn.XLOOKUP(Movies[[#This Row],[movie_id]:[movie_id]],Financials[[#All],[movie_id]:[movie_id]],Financials[[#All],[revenue]],"Not avalable",0)</f>
        <v>2798</v>
      </c>
      <c r="K25" t="str" cm="1">
        <f t="array" ref="K25">_xlfn.XLOOKUP(Movies[[#This Row],[movie_id]:[movie_id]],Financials[[#All],[movie_id]:[movie_id]],Financials[[#All],[unit]],"Not avalable",0)</f>
        <v>Millions</v>
      </c>
    </row>
    <row r="26" spans="1:11" x14ac:dyDescent="0.3">
      <c r="A26">
        <v>126</v>
      </c>
      <c r="B26" t="s">
        <v>142</v>
      </c>
      <c r="C26" t="s">
        <v>7</v>
      </c>
      <c r="D26">
        <v>2018</v>
      </c>
      <c r="E26">
        <v>8.4</v>
      </c>
      <c r="F26" t="s">
        <v>8</v>
      </c>
      <c r="G26">
        <v>5</v>
      </c>
      <c r="H26" cm="1">
        <f t="array" ref="H26">_xlfn.XLOOKUP(Movies[[#This Row],[movie_id]:[movie_id]],Financials[[#All],[movie_id]:[movie_id]],Financials[[#All],[budget]],"Not avalable",0)</f>
        <v>400</v>
      </c>
      <c r="I26" cm="1">
        <f t="array" ref="I26">_xlfn.XLOOKUP(Movies[[#This Row],[movie_id]:[movie_id]],Financials[[#All],[movie_id]:[movie_id]],Financials[[#All],[revenue]],"Not avalable",0)</f>
        <v>2048</v>
      </c>
      <c r="J26" cm="1">
        <f t="array" ref="J26">_xlfn.XLOOKUP(Movies[[#This Row],[movie_id]:[movie_id]],Financials[[#All],[movie_id]:[movie_id]],Financials[[#All],[revenue]],"Not avalable",0)</f>
        <v>2048</v>
      </c>
      <c r="K26" t="str" cm="1">
        <f t="array" ref="K26">_xlfn.XLOOKUP(Movies[[#This Row],[movie_id]:[movie_id]],Financials[[#All],[movie_id]:[movie_id]],Financials[[#All],[unit]],"Not avalable",0)</f>
        <v>Millions</v>
      </c>
    </row>
    <row r="27" spans="1:11" x14ac:dyDescent="0.3">
      <c r="A27">
        <v>127</v>
      </c>
      <c r="B27" t="s">
        <v>143</v>
      </c>
      <c r="C27" t="s">
        <v>6</v>
      </c>
      <c r="D27">
        <v>1955</v>
      </c>
      <c r="E27">
        <v>8.3000000000000007</v>
      </c>
      <c r="F27" t="s">
        <v>116</v>
      </c>
      <c r="G27">
        <v>7</v>
      </c>
      <c r="H27" cm="1">
        <f t="array" ref="H27">_xlfn.XLOOKUP(Movies[[#This Row],[movie_id]:[movie_id]],Financials[[#All],[movie_id]:[movie_id]],Financials[[#All],[budget]],"Not avalable",0)</f>
        <v>70</v>
      </c>
      <c r="I27" cm="1">
        <f t="array" ref="I27">_xlfn.XLOOKUP(Movies[[#This Row],[movie_id]:[movie_id]],Financials[[#All],[movie_id]:[movie_id]],Financials[[#All],[revenue]],"Not avalable",0)</f>
        <v>100</v>
      </c>
      <c r="J27" cm="1">
        <f t="array" ref="J27">_xlfn.XLOOKUP(Movies[[#This Row],[movie_id]:[movie_id]],Financials[[#All],[movie_id]:[movie_id]],Financials[[#All],[revenue]],"Not avalable",0)</f>
        <v>100</v>
      </c>
      <c r="K27" t="str" cm="1">
        <f t="array" ref="K27">_xlfn.XLOOKUP(Movies[[#This Row],[movie_id]:[movie_id]],Financials[[#All],[movie_id]:[movie_id]],Financials[[#All],[unit]],"Not avalable",0)</f>
        <v>Millions</v>
      </c>
    </row>
    <row r="28" spans="1:11" x14ac:dyDescent="0.3">
      <c r="A28">
        <v>128</v>
      </c>
      <c r="B28" t="s">
        <v>144</v>
      </c>
      <c r="C28" t="s">
        <v>6</v>
      </c>
      <c r="D28">
        <v>2007</v>
      </c>
      <c r="E28">
        <v>8.3000000000000007</v>
      </c>
      <c r="F28" t="s">
        <v>114</v>
      </c>
      <c r="G28">
        <v>1</v>
      </c>
      <c r="H28" cm="1">
        <f t="array" ref="H28">_xlfn.XLOOKUP(Movies[[#This Row],[movie_id]:[movie_id]],Financials[[#All],[movie_id]:[movie_id]],Financials[[#All],[budget]],"Not avalable",0)</f>
        <v>120</v>
      </c>
      <c r="I28" cm="1">
        <f t="array" ref="I28">_xlfn.XLOOKUP(Movies[[#This Row],[movie_id]:[movie_id]],Financials[[#All],[movie_id]:[movie_id]],Financials[[#All],[revenue]],"Not avalable",0)</f>
        <v>1350</v>
      </c>
      <c r="J28" cm="1">
        <f t="array" ref="J28">_xlfn.XLOOKUP(Movies[[#This Row],[movie_id]:[movie_id]],Financials[[#All],[movie_id]:[movie_id]],Financials[[#All],[revenue]],"Not avalable",0)</f>
        <v>1350</v>
      </c>
      <c r="K28" t="str" cm="1">
        <f t="array" ref="K28">_xlfn.XLOOKUP(Movies[[#This Row],[movie_id]:[movie_id]],Financials[[#All],[movie_id]:[movie_id]],Financials[[#All],[unit]],"Not avalable",0)</f>
        <v>Millions</v>
      </c>
    </row>
    <row r="29" spans="1:11" x14ac:dyDescent="0.3">
      <c r="A29">
        <v>129</v>
      </c>
      <c r="B29" t="s">
        <v>145</v>
      </c>
      <c r="C29" t="s">
        <v>6</v>
      </c>
      <c r="D29">
        <v>2003</v>
      </c>
      <c r="E29">
        <v>8.1</v>
      </c>
      <c r="F29" t="s">
        <v>21</v>
      </c>
      <c r="G29">
        <v>1</v>
      </c>
      <c r="H29" cm="1">
        <f t="array" ref="H29">_xlfn.XLOOKUP(Movies[[#This Row],[movie_id]:[movie_id]],Financials[[#All],[movie_id]:[movie_id]],Financials[[#All],[budget]],"Not avalable",0)</f>
        <v>100</v>
      </c>
      <c r="I29" cm="1">
        <f t="array" ref="I29">_xlfn.XLOOKUP(Movies[[#This Row],[movie_id]:[movie_id]],Financials[[#All],[movie_id]:[movie_id]],Financials[[#All],[revenue]],"Not avalable",0)</f>
        <v>410</v>
      </c>
      <c r="J29" cm="1">
        <f t="array" ref="J29">_xlfn.XLOOKUP(Movies[[#This Row],[movie_id]:[movie_id]],Financials[[#All],[movie_id]:[movie_id]],Financials[[#All],[revenue]],"Not avalable",0)</f>
        <v>410</v>
      </c>
      <c r="K29" t="str" cm="1">
        <f t="array" ref="K29">_xlfn.XLOOKUP(Movies[[#This Row],[movie_id]:[movie_id]],Financials[[#All],[movie_id]:[movie_id]],Financials[[#All],[unit]],"Not avalable",0)</f>
        <v>Millions</v>
      </c>
    </row>
    <row r="30" spans="1:11" x14ac:dyDescent="0.3">
      <c r="A30">
        <v>130</v>
      </c>
      <c r="B30" t="s">
        <v>146</v>
      </c>
      <c r="C30" t="s">
        <v>6</v>
      </c>
      <c r="D30">
        <v>2014</v>
      </c>
      <c r="E30">
        <v>8.1</v>
      </c>
      <c r="F30" t="s">
        <v>11</v>
      </c>
      <c r="G30">
        <v>1</v>
      </c>
      <c r="H30" cm="1">
        <f t="array" ref="H30">_xlfn.XLOOKUP(Movies[[#This Row],[movie_id]:[movie_id]],Financials[[#All],[movie_id]:[movie_id]],Financials[[#All],[budget]],"Not avalable",0)</f>
        <v>850</v>
      </c>
      <c r="I30" cm="1">
        <f t="array" ref="I30">_xlfn.XLOOKUP(Movies[[#This Row],[movie_id]:[movie_id]],Financials[[#All],[movie_id]:[movie_id]],Financials[[#All],[revenue]],"Not avalable",0)</f>
        <v>8540</v>
      </c>
      <c r="J30" cm="1">
        <f t="array" ref="J30">_xlfn.XLOOKUP(Movies[[#This Row],[movie_id]:[movie_id]],Financials[[#All],[movie_id]:[movie_id]],Financials[[#All],[revenue]],"Not avalable",0)</f>
        <v>8540</v>
      </c>
      <c r="K30" t="str" cm="1">
        <f t="array" ref="K30">_xlfn.XLOOKUP(Movies[[#This Row],[movie_id]:[movie_id]],Financials[[#All],[movie_id]:[movie_id]],Financials[[#All],[unit]],"Not avalable",0)</f>
        <v>Millions</v>
      </c>
    </row>
    <row r="31" spans="1:11" x14ac:dyDescent="0.3">
      <c r="A31">
        <v>131</v>
      </c>
      <c r="B31" t="s">
        <v>147</v>
      </c>
      <c r="C31" t="s">
        <v>6</v>
      </c>
      <c r="D31">
        <v>2018</v>
      </c>
      <c r="E31" t="s">
        <v>113</v>
      </c>
      <c r="F31" t="s">
        <v>11</v>
      </c>
      <c r="G31">
        <v>1</v>
      </c>
      <c r="H31" cm="1">
        <f t="array" ref="H31">_xlfn.XLOOKUP(Movies[[#This Row],[movie_id]:[movie_id]],Financials[[#All],[movie_id]:[movie_id]],Financials[[#All],[budget]],"Not avalable",0)</f>
        <v>1</v>
      </c>
      <c r="I31" cm="1">
        <f t="array" ref="I31">_xlfn.XLOOKUP(Movies[[#This Row],[movie_id]:[movie_id]],Financials[[#All],[movie_id]:[movie_id]],Financials[[#All],[revenue]],"Not avalable",0)</f>
        <v>5.9</v>
      </c>
      <c r="J31" cm="1">
        <f t="array" ref="J31">_xlfn.XLOOKUP(Movies[[#This Row],[movie_id]:[movie_id]],Financials[[#All],[movie_id]:[movie_id]],Financials[[#All],[revenue]],"Not avalable",0)</f>
        <v>5.9</v>
      </c>
      <c r="K31" t="str" cm="1">
        <f t="array" ref="K31">_xlfn.XLOOKUP(Movies[[#This Row],[movie_id]:[movie_id]],Financials[[#All],[movie_id]:[movie_id]],Financials[[#All],[unit]],"Not avalable",0)</f>
        <v>Billions</v>
      </c>
    </row>
    <row r="32" spans="1:11" x14ac:dyDescent="0.3">
      <c r="A32">
        <v>132</v>
      </c>
      <c r="B32" t="s">
        <v>148</v>
      </c>
      <c r="C32" t="s">
        <v>6</v>
      </c>
      <c r="D32">
        <v>2021</v>
      </c>
      <c r="E32">
        <v>7.6</v>
      </c>
      <c r="F32" t="s">
        <v>22</v>
      </c>
      <c r="G32">
        <v>2</v>
      </c>
      <c r="H32" cm="1">
        <f t="array" ref="H32">_xlfn.XLOOKUP(Movies[[#This Row],[movie_id]:[movie_id]],Financials[[#All],[movie_id]:[movie_id]],Financials[[#All],[budget]],"Not avalable",0)</f>
        <v>2</v>
      </c>
      <c r="I32" cm="1">
        <f t="array" ref="I32">_xlfn.XLOOKUP(Movies[[#This Row],[movie_id]:[movie_id]],Financials[[#All],[movie_id]:[movie_id]],Financials[[#All],[revenue]],"Not avalable",0)</f>
        <v>3.6</v>
      </c>
      <c r="J32" cm="1">
        <f t="array" ref="J32">_xlfn.XLOOKUP(Movies[[#This Row],[movie_id]:[movie_id]],Financials[[#All],[movie_id]:[movie_id]],Financials[[#All],[revenue]],"Not avalable",0)</f>
        <v>3.6</v>
      </c>
      <c r="K32" t="str" cm="1">
        <f t="array" ref="K32">_xlfn.XLOOKUP(Movies[[#This Row],[movie_id]:[movie_id]],Financials[[#All],[movie_id]:[movie_id]],Financials[[#All],[unit]],"Not avalable",0)</f>
        <v>Billions</v>
      </c>
    </row>
    <row r="33" spans="1:11" x14ac:dyDescent="0.3">
      <c r="A33">
        <v>133</v>
      </c>
      <c r="B33" t="s">
        <v>149</v>
      </c>
      <c r="C33" t="s">
        <v>6</v>
      </c>
      <c r="D33">
        <v>2022</v>
      </c>
      <c r="E33">
        <v>8</v>
      </c>
      <c r="F33" t="s">
        <v>23</v>
      </c>
      <c r="G33">
        <v>2</v>
      </c>
      <c r="H33" cm="1">
        <f t="array" ref="H33">_xlfn.XLOOKUP(Movies[[#This Row],[movie_id]:[movie_id]],Financials[[#All],[movie_id]:[movie_id]],Financials[[#All],[budget]],"Not avalable",0)</f>
        <v>5.5</v>
      </c>
      <c r="I33" cm="1">
        <f t="array" ref="I33">_xlfn.XLOOKUP(Movies[[#This Row],[movie_id]:[movie_id]],Financials[[#All],[movie_id]:[movie_id]],Financials[[#All],[revenue]],"Not avalable",0)</f>
        <v>12</v>
      </c>
      <c r="J33" cm="1">
        <f t="array" ref="J33">_xlfn.XLOOKUP(Movies[[#This Row],[movie_id]:[movie_id]],Financials[[#All],[movie_id]:[movie_id]],Financials[[#All],[revenue]],"Not avalable",0)</f>
        <v>12</v>
      </c>
      <c r="K33" t="str" cm="1">
        <f t="array" ref="K33">_xlfn.XLOOKUP(Movies[[#This Row],[movie_id]:[movie_id]],Financials[[#All],[movie_id]:[movie_id]],Financials[[#All],[unit]],"Not avalable",0)</f>
        <v>Billions</v>
      </c>
    </row>
    <row r="34" spans="1:11" x14ac:dyDescent="0.3">
      <c r="A34">
        <v>134</v>
      </c>
      <c r="B34" t="s">
        <v>150</v>
      </c>
      <c r="C34" t="s">
        <v>6</v>
      </c>
      <c r="D34">
        <v>2015</v>
      </c>
      <c r="E34">
        <v>8</v>
      </c>
      <c r="F34" t="s">
        <v>24</v>
      </c>
      <c r="G34">
        <v>2</v>
      </c>
      <c r="H34" cm="1">
        <f t="array" ref="H34">_xlfn.XLOOKUP(Movies[[#This Row],[movie_id]:[movie_id]],Financials[[#All],[movie_id]:[movie_id]],Financials[[#All],[budget]],"Not avalable",0)</f>
        <v>1.8</v>
      </c>
      <c r="I34" cm="1">
        <f t="array" ref="I34">_xlfn.XLOOKUP(Movies[[#This Row],[movie_id]:[movie_id]],Financials[[#All],[movie_id]:[movie_id]],Financials[[#All],[revenue]],"Not avalable",0)</f>
        <v>6.5</v>
      </c>
      <c r="J34" cm="1">
        <f t="array" ref="J34">_xlfn.XLOOKUP(Movies[[#This Row],[movie_id]:[movie_id]],Financials[[#All],[movie_id]:[movie_id]],Financials[[#All],[revenue]],"Not avalable",0)</f>
        <v>6.5</v>
      </c>
      <c r="K34" t="str" cm="1">
        <f t="array" ref="K34">_xlfn.XLOOKUP(Movies[[#This Row],[movie_id]:[movie_id]],Financials[[#All],[movie_id]:[movie_id]],Financials[[#All],[unit]],"Not avalable",0)</f>
        <v>Billions</v>
      </c>
    </row>
    <row r="35" spans="1:11" x14ac:dyDescent="0.3">
      <c r="A35">
        <v>135</v>
      </c>
      <c r="B35" t="s">
        <v>151</v>
      </c>
      <c r="C35" t="s">
        <v>6</v>
      </c>
      <c r="D35">
        <v>2022</v>
      </c>
      <c r="E35">
        <v>8.3000000000000007</v>
      </c>
      <c r="F35" t="s">
        <v>25</v>
      </c>
      <c r="G35">
        <v>1</v>
      </c>
      <c r="H35" cm="1">
        <f t="array" ref="H35">_xlfn.XLOOKUP(Movies[[#This Row],[movie_id]:[movie_id]],Financials[[#All],[movie_id]:[movie_id]],Financials[[#All],[budget]],"Not avalable",0)</f>
        <v>250</v>
      </c>
      <c r="I35" cm="1">
        <f t="array" ref="I35">_xlfn.XLOOKUP(Movies[[#This Row],[movie_id]:[movie_id]],Financials[[#All],[movie_id]:[movie_id]],Financials[[#All],[revenue]],"Not avalable",0)</f>
        <v>3409</v>
      </c>
      <c r="J35" cm="1">
        <f t="array" ref="J35">_xlfn.XLOOKUP(Movies[[#This Row],[movie_id]:[movie_id]],Financials[[#All],[movie_id]:[movie_id]],Financials[[#All],[revenue]],"Not avalable",0)</f>
        <v>3409</v>
      </c>
      <c r="K35" t="str" cm="1">
        <f t="array" ref="K35">_xlfn.XLOOKUP(Movies[[#This Row],[movie_id]:[movie_id]],Financials[[#All],[movie_id]:[movie_id]],Financials[[#All],[unit]],"Not avalable",0)</f>
        <v>Millions</v>
      </c>
    </row>
    <row r="36" spans="1:11" x14ac:dyDescent="0.3">
      <c r="A36">
        <v>136</v>
      </c>
      <c r="B36" t="s">
        <v>152</v>
      </c>
      <c r="C36" t="s">
        <v>6</v>
      </c>
      <c r="D36">
        <v>2015</v>
      </c>
      <c r="E36">
        <v>8.1</v>
      </c>
      <c r="F36" t="s">
        <v>26</v>
      </c>
      <c r="G36">
        <v>1</v>
      </c>
      <c r="H36" cm="1">
        <f t="array" ref="H36">_xlfn.XLOOKUP(Movies[[#This Row],[movie_id]:[movie_id]],Financials[[#All],[movie_id]:[movie_id]],Financials[[#All],[budget]],"Not avalable",0)</f>
        <v>900</v>
      </c>
      <c r="I36" cm="1">
        <f t="array" ref="I36">_xlfn.XLOOKUP(Movies[[#This Row],[movie_id]:[movie_id]],Financials[[#All],[movie_id]:[movie_id]],Financials[[#All],[revenue]],"Not avalable",0)</f>
        <v>11690</v>
      </c>
      <c r="J36" cm="1">
        <f t="array" ref="J36">_xlfn.XLOOKUP(Movies[[#This Row],[movie_id]:[movie_id]],Financials[[#All],[movie_id]:[movie_id]],Financials[[#All],[revenue]],"Not avalable",0)</f>
        <v>11690</v>
      </c>
      <c r="K36" t="str" cm="1">
        <f t="array" ref="K36">_xlfn.XLOOKUP(Movies[[#This Row],[movie_id]:[movie_id]],Financials[[#All],[movie_id]:[movie_id]],Financials[[#All],[unit]],"Not avalable",0)</f>
        <v>Millions</v>
      </c>
    </row>
    <row r="37" spans="1:11" x14ac:dyDescent="0.3">
      <c r="A37">
        <v>137</v>
      </c>
      <c r="B37" t="s">
        <v>153</v>
      </c>
      <c r="C37" t="s">
        <v>7</v>
      </c>
      <c r="D37">
        <v>2011</v>
      </c>
      <c r="E37">
        <v>6.9</v>
      </c>
      <c r="F37" t="s">
        <v>8</v>
      </c>
      <c r="G37">
        <v>5</v>
      </c>
      <c r="H37" cm="1">
        <f t="array" ref="H37">_xlfn.XLOOKUP(Movies[[#This Row],[movie_id]:[movie_id]],Financials[[#All],[movie_id]:[movie_id]],Financials[[#All],[budget]],"Not avalable",0)</f>
        <v>216.7</v>
      </c>
      <c r="I37" cm="1">
        <f t="array" ref="I37">_xlfn.XLOOKUP(Movies[[#This Row],[movie_id]:[movie_id]],Financials[[#All],[movie_id]:[movie_id]],Financials[[#All],[revenue]],"Not avalable",0)</f>
        <v>370.6</v>
      </c>
      <c r="J37" cm="1">
        <f t="array" ref="J37">_xlfn.XLOOKUP(Movies[[#This Row],[movie_id]:[movie_id]],Financials[[#All],[movie_id]:[movie_id]],Financials[[#All],[revenue]],"Not avalable",0)</f>
        <v>370.6</v>
      </c>
      <c r="K37" t="str" cm="1">
        <f t="array" ref="K37">_xlfn.XLOOKUP(Movies[[#This Row],[movie_id]:[movie_id]],Financials[[#All],[movie_id]:[movie_id]],Financials[[#All],[unit]],"Not avalable",0)</f>
        <v>Millions</v>
      </c>
    </row>
    <row r="38" spans="1:11" x14ac:dyDescent="0.3">
      <c r="A38">
        <v>138</v>
      </c>
      <c r="B38" t="s">
        <v>154</v>
      </c>
      <c r="C38" t="s">
        <v>7</v>
      </c>
      <c r="D38">
        <v>2014</v>
      </c>
      <c r="E38">
        <v>7.8</v>
      </c>
      <c r="F38" t="s">
        <v>8</v>
      </c>
      <c r="G38">
        <v>5</v>
      </c>
      <c r="H38" cm="1">
        <f t="array" ref="H38">_xlfn.XLOOKUP(Movies[[#This Row],[movie_id]:[movie_id]],Financials[[#All],[movie_id]:[movie_id]],Financials[[#All],[budget]],"Not avalable",0)</f>
        <v>177</v>
      </c>
      <c r="I38" cm="1">
        <f t="array" ref="I38">_xlfn.XLOOKUP(Movies[[#This Row],[movie_id]:[movie_id]],Financials[[#All],[movie_id]:[movie_id]],Financials[[#All],[revenue]],"Not avalable",0)</f>
        <v>714.4</v>
      </c>
      <c r="J38" cm="1">
        <f t="array" ref="J38">_xlfn.XLOOKUP(Movies[[#This Row],[movie_id]:[movie_id]],Financials[[#All],[movie_id]:[movie_id]],Financials[[#All],[revenue]],"Not avalable",0)</f>
        <v>714.4</v>
      </c>
      <c r="K38" t="str" cm="1">
        <f t="array" ref="K38">_xlfn.XLOOKUP(Movies[[#This Row],[movie_id]:[movie_id]],Financials[[#All],[movie_id]:[movie_id]],Financials[[#All],[unit]],"Not avalable",0)</f>
        <v>Millions</v>
      </c>
    </row>
    <row r="39" spans="1:11" x14ac:dyDescent="0.3">
      <c r="A39">
        <v>139</v>
      </c>
      <c r="B39" t="s">
        <v>155</v>
      </c>
      <c r="C39" t="s">
        <v>6</v>
      </c>
      <c r="D39">
        <v>2018</v>
      </c>
      <c r="E39">
        <v>1.9</v>
      </c>
      <c r="F39" t="s">
        <v>26</v>
      </c>
      <c r="G39">
        <v>1</v>
      </c>
      <c r="H39" cm="1">
        <f t="array" ref="H39">_xlfn.XLOOKUP(Movies[[#This Row],[movie_id]:[movie_id]],Financials[[#All],[movie_id]:[movie_id]],Financials[[#All],[budget]],"Not avalable",0)</f>
        <v>1.8</v>
      </c>
      <c r="I39" cm="1">
        <f t="array" ref="I39">_xlfn.XLOOKUP(Movies[[#This Row],[movie_id]:[movie_id]],Financials[[#All],[movie_id]:[movie_id]],Financials[[#All],[revenue]],"Not avalable",0)</f>
        <v>3.1</v>
      </c>
      <c r="J39" cm="1">
        <f t="array" ref="J39">_xlfn.XLOOKUP(Movies[[#This Row],[movie_id]:[movie_id]],Financials[[#All],[movie_id]:[movie_id]],Financials[[#All],[revenue]],"Not avalable",0)</f>
        <v>3.1</v>
      </c>
      <c r="K39" t="str" cm="1">
        <f t="array" ref="K39">_xlfn.XLOOKUP(Movies[[#This Row],[movie_id]:[movie_id]],Financials[[#All],[movie_id]:[movie_id]],Financials[[#All],[unit]],"Not avalable",0)</f>
        <v>Billions</v>
      </c>
    </row>
    <row r="40" spans="1:11" x14ac:dyDescent="0.3">
      <c r="A40">
        <v>140</v>
      </c>
      <c r="B40" t="s">
        <v>156</v>
      </c>
      <c r="C40" t="s">
        <v>6</v>
      </c>
      <c r="D40">
        <v>2021</v>
      </c>
      <c r="E40">
        <v>8.4</v>
      </c>
      <c r="F40" t="s">
        <v>12</v>
      </c>
      <c r="G40">
        <v>1</v>
      </c>
      <c r="H40" cm="1">
        <f t="array" ref="H40">_xlfn.XLOOKUP(Movies[[#This Row],[movie_id]:[movie_id]],Financials[[#All],[movie_id]:[movie_id]],Financials[[#All],[budget]],"Not avalable",0)</f>
        <v>500</v>
      </c>
      <c r="I40" cm="1">
        <f t="array" ref="I40">_xlfn.XLOOKUP(Movies[[#This Row],[movie_id]:[movie_id]],Financials[[#All],[movie_id]:[movie_id]],Financials[[#All],[revenue]],"Not avalable",0)</f>
        <v>950</v>
      </c>
      <c r="J40" cm="1">
        <f t="array" ref="J40">_xlfn.XLOOKUP(Movies[[#This Row],[movie_id]:[movie_id]],Financials[[#All],[movie_id]:[movie_id]],Financials[[#All],[revenue]],"Not avalable",0)</f>
        <v>950</v>
      </c>
      <c r="K40" t="str" cm="1">
        <f t="array" ref="K40">_xlfn.XLOOKUP(Movies[[#This Row],[movie_id]:[movie_id]],Financials[[#All],[movie_id]:[movie_id]],Financials[[#All],[unit]],"Not avalable",0)</f>
        <v>Millions</v>
      </c>
    </row>
  </sheetData>
  <conditionalFormatting sqref="A1:B1">
    <cfRule type="duplicateValues" dxfId="12" priority="5"/>
    <cfRule type="duplicateValues" dxfId="11" priority="6"/>
  </conditionalFormatting>
  <conditionalFormatting sqref="A2:B40">
    <cfRule type="duplicateValues" dxfId="10" priority="9"/>
    <cfRule type="duplicateValues" dxfId="9" priority="10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B1:G41"/>
  <sheetViews>
    <sheetView topLeftCell="A26" zoomScale="160" zoomScaleNormal="160" workbookViewId="0">
      <selection activeCell="G34" sqref="G34"/>
    </sheetView>
  </sheetViews>
  <sheetFormatPr defaultRowHeight="14.4" x14ac:dyDescent="0.3"/>
  <cols>
    <col min="3" max="3" width="9.44140625" customWidth="1"/>
    <col min="7" max="7" width="30.33203125" customWidth="1"/>
  </cols>
  <sheetData>
    <row r="1" spans="2:7" x14ac:dyDescent="0.3">
      <c r="B1" s="1" t="s">
        <v>117</v>
      </c>
      <c r="C1" s="1" t="s">
        <v>0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2:7" x14ac:dyDescent="0.3">
      <c r="C2">
        <v>101</v>
      </c>
      <c r="D2">
        <v>1</v>
      </c>
      <c r="E2">
        <v>12.5</v>
      </c>
      <c r="F2" t="s">
        <v>31</v>
      </c>
      <c r="G2" t="s">
        <v>32</v>
      </c>
    </row>
    <row r="3" spans="2:7" x14ac:dyDescent="0.3">
      <c r="C3">
        <v>102</v>
      </c>
      <c r="D3">
        <v>200</v>
      </c>
      <c r="E3">
        <v>954.8</v>
      </c>
      <c r="F3" t="s">
        <v>33</v>
      </c>
      <c r="G3" t="s">
        <v>34</v>
      </c>
    </row>
    <row r="4" spans="2:7" x14ac:dyDescent="0.3">
      <c r="C4">
        <v>103</v>
      </c>
      <c r="D4">
        <v>165</v>
      </c>
      <c r="E4">
        <v>644.79999999999995</v>
      </c>
      <c r="F4" t="s">
        <v>33</v>
      </c>
      <c r="G4" t="s">
        <v>34</v>
      </c>
    </row>
    <row r="5" spans="2:7" x14ac:dyDescent="0.3">
      <c r="C5">
        <v>104</v>
      </c>
      <c r="D5">
        <v>180</v>
      </c>
      <c r="E5">
        <v>854</v>
      </c>
      <c r="F5" t="s">
        <v>33</v>
      </c>
      <c r="G5" t="s">
        <v>34</v>
      </c>
    </row>
    <row r="6" spans="2:7" x14ac:dyDescent="0.3">
      <c r="C6">
        <v>105</v>
      </c>
      <c r="D6">
        <v>250</v>
      </c>
      <c r="E6">
        <v>670</v>
      </c>
      <c r="F6" t="s">
        <v>33</v>
      </c>
      <c r="G6" t="s">
        <v>34</v>
      </c>
    </row>
    <row r="7" spans="2:7" x14ac:dyDescent="0.3">
      <c r="C7">
        <v>107</v>
      </c>
      <c r="D7">
        <v>400</v>
      </c>
      <c r="E7">
        <v>2000</v>
      </c>
      <c r="F7" t="s">
        <v>33</v>
      </c>
      <c r="G7" t="s">
        <v>32</v>
      </c>
    </row>
    <row r="8" spans="2:7" x14ac:dyDescent="0.3">
      <c r="C8">
        <v>108</v>
      </c>
      <c r="D8">
        <v>550</v>
      </c>
      <c r="E8">
        <v>4000</v>
      </c>
      <c r="F8" t="s">
        <v>33</v>
      </c>
      <c r="G8" t="s">
        <v>32</v>
      </c>
    </row>
    <row r="9" spans="2:7" x14ac:dyDescent="0.3">
      <c r="C9">
        <v>109</v>
      </c>
      <c r="D9">
        <v>390</v>
      </c>
      <c r="E9">
        <v>1360</v>
      </c>
      <c r="F9" t="s">
        <v>33</v>
      </c>
      <c r="G9" t="s">
        <v>32</v>
      </c>
    </row>
    <row r="10" spans="2:7" x14ac:dyDescent="0.3">
      <c r="C10">
        <v>110</v>
      </c>
      <c r="D10">
        <v>1.4</v>
      </c>
      <c r="E10">
        <v>3.5</v>
      </c>
      <c r="F10" t="s">
        <v>31</v>
      </c>
      <c r="G10" t="s">
        <v>32</v>
      </c>
    </row>
    <row r="11" spans="2:7" x14ac:dyDescent="0.3">
      <c r="C11">
        <v>111</v>
      </c>
      <c r="D11">
        <v>25</v>
      </c>
      <c r="E11">
        <v>73.3</v>
      </c>
      <c r="F11" t="s">
        <v>33</v>
      </c>
      <c r="G11" t="s">
        <v>34</v>
      </c>
    </row>
    <row r="12" spans="2:7" x14ac:dyDescent="0.3">
      <c r="C12">
        <v>113</v>
      </c>
      <c r="D12">
        <v>165</v>
      </c>
      <c r="E12">
        <v>701.8</v>
      </c>
      <c r="F12" t="s">
        <v>33</v>
      </c>
      <c r="G12" t="s">
        <v>34</v>
      </c>
    </row>
    <row r="13" spans="2:7" x14ac:dyDescent="0.3">
      <c r="C13">
        <v>114</v>
      </c>
      <c r="D13">
        <v>205</v>
      </c>
      <c r="E13">
        <v>365.3</v>
      </c>
      <c r="F13" t="s">
        <v>33</v>
      </c>
      <c r="G13" t="s">
        <v>34</v>
      </c>
    </row>
    <row r="14" spans="2:7" x14ac:dyDescent="0.3">
      <c r="C14">
        <v>115</v>
      </c>
      <c r="D14">
        <v>55</v>
      </c>
      <c r="E14">
        <v>307.10000000000002</v>
      </c>
      <c r="F14" t="s">
        <v>33</v>
      </c>
      <c r="G14" t="s">
        <v>34</v>
      </c>
    </row>
    <row r="15" spans="2:7" x14ac:dyDescent="0.3">
      <c r="C15">
        <v>116</v>
      </c>
      <c r="D15">
        <v>103</v>
      </c>
      <c r="E15">
        <v>460.5</v>
      </c>
      <c r="F15" t="s">
        <v>33</v>
      </c>
      <c r="G15" t="s">
        <v>34</v>
      </c>
    </row>
    <row r="16" spans="2:7" x14ac:dyDescent="0.3">
      <c r="C16">
        <v>117</v>
      </c>
      <c r="D16">
        <v>200</v>
      </c>
      <c r="E16">
        <v>2202</v>
      </c>
      <c r="F16" t="s">
        <v>33</v>
      </c>
      <c r="G16" t="s">
        <v>34</v>
      </c>
    </row>
    <row r="17" spans="3:7" x14ac:dyDescent="0.3">
      <c r="C17">
        <v>118</v>
      </c>
      <c r="D17">
        <v>3.18</v>
      </c>
      <c r="E17">
        <v>3.3</v>
      </c>
      <c r="F17" t="s">
        <v>33</v>
      </c>
      <c r="G17" t="s">
        <v>34</v>
      </c>
    </row>
    <row r="18" spans="3:7" x14ac:dyDescent="0.3">
      <c r="C18">
        <v>119</v>
      </c>
      <c r="D18">
        <v>237</v>
      </c>
      <c r="E18">
        <v>2847</v>
      </c>
      <c r="F18" t="s">
        <v>33</v>
      </c>
      <c r="G18" t="s">
        <v>34</v>
      </c>
    </row>
    <row r="19" spans="3:7" x14ac:dyDescent="0.3">
      <c r="C19">
        <v>120</v>
      </c>
      <c r="D19">
        <v>7.2</v>
      </c>
      <c r="E19">
        <v>291</v>
      </c>
      <c r="F19" t="s">
        <v>33</v>
      </c>
      <c r="G19" t="s">
        <v>34</v>
      </c>
    </row>
    <row r="20" spans="3:7" x14ac:dyDescent="0.3">
      <c r="C20">
        <v>121</v>
      </c>
      <c r="D20">
        <v>185</v>
      </c>
      <c r="E20">
        <v>1006</v>
      </c>
      <c r="F20" t="s">
        <v>33</v>
      </c>
      <c r="G20" t="s">
        <v>34</v>
      </c>
    </row>
    <row r="21" spans="3:7" x14ac:dyDescent="0.3">
      <c r="C21">
        <v>122</v>
      </c>
      <c r="D21">
        <v>22</v>
      </c>
      <c r="E21">
        <v>322.2</v>
      </c>
      <c r="F21" t="s">
        <v>33</v>
      </c>
      <c r="G21" t="s">
        <v>34</v>
      </c>
    </row>
    <row r="22" spans="3:7" x14ac:dyDescent="0.3">
      <c r="C22">
        <v>123</v>
      </c>
      <c r="D22">
        <v>63</v>
      </c>
      <c r="E22">
        <v>1046</v>
      </c>
      <c r="F22" t="s">
        <v>33</v>
      </c>
      <c r="G22" t="s">
        <v>34</v>
      </c>
    </row>
    <row r="23" spans="3:7" x14ac:dyDescent="0.3">
      <c r="C23">
        <v>124</v>
      </c>
      <c r="D23">
        <v>15.5</v>
      </c>
      <c r="E23">
        <v>263.10000000000002</v>
      </c>
      <c r="F23" t="s">
        <v>33</v>
      </c>
      <c r="G23" t="s">
        <v>34</v>
      </c>
    </row>
    <row r="24" spans="3:7" x14ac:dyDescent="0.3">
      <c r="C24">
        <v>125</v>
      </c>
      <c r="D24">
        <v>400</v>
      </c>
      <c r="E24">
        <v>2798</v>
      </c>
      <c r="F24" t="s">
        <v>33</v>
      </c>
      <c r="G24" t="s">
        <v>34</v>
      </c>
    </row>
    <row r="25" spans="3:7" x14ac:dyDescent="0.3">
      <c r="C25">
        <v>126</v>
      </c>
      <c r="D25">
        <v>400</v>
      </c>
      <c r="E25">
        <v>2048</v>
      </c>
      <c r="F25" t="s">
        <v>33</v>
      </c>
      <c r="G25" t="s">
        <v>34</v>
      </c>
    </row>
    <row r="26" spans="3:7" x14ac:dyDescent="0.3">
      <c r="C26">
        <v>127</v>
      </c>
      <c r="D26">
        <v>70</v>
      </c>
      <c r="E26">
        <v>100</v>
      </c>
      <c r="F26" t="s">
        <v>33</v>
      </c>
      <c r="G26" t="s">
        <v>32</v>
      </c>
    </row>
    <row r="27" spans="3:7" x14ac:dyDescent="0.3">
      <c r="C27">
        <v>128</v>
      </c>
      <c r="D27">
        <v>120</v>
      </c>
      <c r="E27">
        <v>1350</v>
      </c>
      <c r="F27" t="s">
        <v>33</v>
      </c>
      <c r="G27" t="s">
        <v>32</v>
      </c>
    </row>
    <row r="28" spans="3:7" x14ac:dyDescent="0.3">
      <c r="C28">
        <v>129</v>
      </c>
      <c r="D28">
        <v>100</v>
      </c>
      <c r="E28">
        <v>410</v>
      </c>
      <c r="F28" t="s">
        <v>33</v>
      </c>
      <c r="G28" t="s">
        <v>32</v>
      </c>
    </row>
    <row r="29" spans="3:7" x14ac:dyDescent="0.3">
      <c r="C29">
        <v>130</v>
      </c>
      <c r="D29">
        <v>850</v>
      </c>
      <c r="E29">
        <v>8540</v>
      </c>
      <c r="F29" t="s">
        <v>33</v>
      </c>
      <c r="G29" t="s">
        <v>32</v>
      </c>
    </row>
    <row r="30" spans="3:7" x14ac:dyDescent="0.3">
      <c r="C30">
        <v>131</v>
      </c>
      <c r="D30">
        <v>1</v>
      </c>
      <c r="E30">
        <v>5.9</v>
      </c>
      <c r="F30" t="s">
        <v>31</v>
      </c>
      <c r="G30" t="s">
        <v>32</v>
      </c>
    </row>
    <row r="31" spans="3:7" x14ac:dyDescent="0.3">
      <c r="C31">
        <v>132</v>
      </c>
      <c r="D31">
        <v>2</v>
      </c>
      <c r="E31">
        <v>3.6</v>
      </c>
      <c r="F31" t="s">
        <v>31</v>
      </c>
      <c r="G31" t="s">
        <v>32</v>
      </c>
    </row>
    <row r="32" spans="3:7" x14ac:dyDescent="0.3">
      <c r="C32">
        <v>133</v>
      </c>
      <c r="D32">
        <v>5.5</v>
      </c>
      <c r="E32">
        <v>12</v>
      </c>
      <c r="F32" t="s">
        <v>31</v>
      </c>
      <c r="G32" t="s">
        <v>32</v>
      </c>
    </row>
    <row r="33" spans="3:7" x14ac:dyDescent="0.3">
      <c r="C33">
        <v>134</v>
      </c>
      <c r="D33">
        <v>1.8</v>
      </c>
      <c r="E33">
        <v>6.5</v>
      </c>
      <c r="F33" t="s">
        <v>31</v>
      </c>
      <c r="G33" t="s">
        <v>32</v>
      </c>
    </row>
    <row r="34" spans="3:7" x14ac:dyDescent="0.3">
      <c r="C34">
        <v>135</v>
      </c>
      <c r="D34">
        <v>250</v>
      </c>
      <c r="E34">
        <v>3409</v>
      </c>
      <c r="F34" t="s">
        <v>33</v>
      </c>
      <c r="G34" t="s">
        <v>32</v>
      </c>
    </row>
    <row r="35" spans="3:7" x14ac:dyDescent="0.3">
      <c r="C35">
        <v>136</v>
      </c>
      <c r="D35">
        <v>900</v>
      </c>
      <c r="E35">
        <v>11690</v>
      </c>
      <c r="F35" t="s">
        <v>33</v>
      </c>
      <c r="G35" t="s">
        <v>32</v>
      </c>
    </row>
    <row r="36" spans="3:7" x14ac:dyDescent="0.3">
      <c r="C36">
        <v>137</v>
      </c>
      <c r="D36">
        <v>216.7</v>
      </c>
      <c r="E36">
        <v>370.6</v>
      </c>
      <c r="F36" t="s">
        <v>33</v>
      </c>
      <c r="G36" t="s">
        <v>34</v>
      </c>
    </row>
    <row r="37" spans="3:7" x14ac:dyDescent="0.3">
      <c r="C37">
        <v>138</v>
      </c>
      <c r="D37">
        <v>177</v>
      </c>
      <c r="E37">
        <v>714.4</v>
      </c>
      <c r="F37" t="s">
        <v>33</v>
      </c>
      <c r="G37" t="s">
        <v>34</v>
      </c>
    </row>
    <row r="38" spans="3:7" x14ac:dyDescent="0.3">
      <c r="C38">
        <v>139</v>
      </c>
      <c r="D38">
        <v>1.8</v>
      </c>
      <c r="E38">
        <v>3.1</v>
      </c>
      <c r="F38" t="s">
        <v>31</v>
      </c>
      <c r="G38" t="s">
        <v>32</v>
      </c>
    </row>
    <row r="39" spans="3:7" x14ac:dyDescent="0.3">
      <c r="C39">
        <v>140</v>
      </c>
      <c r="D39">
        <v>500</v>
      </c>
      <c r="E39">
        <v>950</v>
      </c>
      <c r="F39" t="s">
        <v>33</v>
      </c>
      <c r="G39" t="s">
        <v>32</v>
      </c>
    </row>
    <row r="40" spans="3:7" x14ac:dyDescent="0.3">
      <c r="C40">
        <v>406</v>
      </c>
      <c r="D40">
        <v>30</v>
      </c>
      <c r="E40">
        <v>350</v>
      </c>
      <c r="F40" t="s">
        <v>33</v>
      </c>
      <c r="G40" t="s">
        <v>32</v>
      </c>
    </row>
    <row r="41" spans="3:7" x14ac:dyDescent="0.3">
      <c r="C41">
        <v>412</v>
      </c>
      <c r="D41">
        <v>160</v>
      </c>
      <c r="E41">
        <v>836.8</v>
      </c>
      <c r="F41" t="s">
        <v>33</v>
      </c>
      <c r="G4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G68"/>
  <sheetViews>
    <sheetView zoomScale="160" zoomScaleNormal="160" workbookViewId="0">
      <selection activeCell="E10" sqref="E10"/>
    </sheetView>
  </sheetViews>
  <sheetFormatPr defaultRowHeight="14.4" x14ac:dyDescent="0.3"/>
  <cols>
    <col min="2" max="2" width="26.44140625" customWidth="1"/>
    <col min="3" max="3" width="10.88671875" customWidth="1"/>
    <col min="5" max="5" width="22.109375" customWidth="1"/>
  </cols>
  <sheetData>
    <row r="1" spans="1:7" x14ac:dyDescent="0.3">
      <c r="A1" s="2" t="s">
        <v>35</v>
      </c>
      <c r="B1" s="2" t="s">
        <v>36</v>
      </c>
      <c r="C1" s="2" t="s">
        <v>37</v>
      </c>
    </row>
    <row r="2" spans="1:7" x14ac:dyDescent="0.3">
      <c r="A2">
        <v>50</v>
      </c>
      <c r="B2" t="s">
        <v>38</v>
      </c>
      <c r="C2">
        <v>1986</v>
      </c>
    </row>
    <row r="3" spans="1:7" x14ac:dyDescent="0.3">
      <c r="A3">
        <v>51</v>
      </c>
      <c r="B3" t="s">
        <v>39</v>
      </c>
      <c r="C3">
        <v>1959</v>
      </c>
    </row>
    <row r="4" spans="1:7" x14ac:dyDescent="0.3">
      <c r="A4">
        <v>52</v>
      </c>
      <c r="B4" t="s">
        <v>40</v>
      </c>
      <c r="C4">
        <v>1976</v>
      </c>
    </row>
    <row r="5" spans="1:7" x14ac:dyDescent="0.3">
      <c r="A5">
        <v>53</v>
      </c>
      <c r="B5" t="s">
        <v>41</v>
      </c>
      <c r="C5">
        <v>1989</v>
      </c>
      <c r="E5">
        <f>MATCH("Kajol",actors[name],)</f>
        <v>11</v>
      </c>
    </row>
    <row r="6" spans="1:7" x14ac:dyDescent="0.3">
      <c r="A6">
        <v>54</v>
      </c>
      <c r="B6" t="s">
        <v>42</v>
      </c>
      <c r="C6">
        <v>1983</v>
      </c>
    </row>
    <row r="7" spans="1:7" x14ac:dyDescent="0.3">
      <c r="A7">
        <v>55</v>
      </c>
      <c r="B7" t="s">
        <v>43</v>
      </c>
      <c r="C7">
        <v>1981</v>
      </c>
      <c r="E7">
        <f>MATCH("birth_year",actors[#Headers],0)</f>
        <v>3</v>
      </c>
    </row>
    <row r="8" spans="1:7" x14ac:dyDescent="0.3">
      <c r="A8">
        <v>56</v>
      </c>
      <c r="B8" t="s">
        <v>44</v>
      </c>
      <c r="C8">
        <v>1981</v>
      </c>
    </row>
    <row r="9" spans="1:7" x14ac:dyDescent="0.3">
      <c r="A9">
        <v>57</v>
      </c>
      <c r="B9" t="s">
        <v>45</v>
      </c>
      <c r="C9">
        <v>1942</v>
      </c>
      <c r="E9" t="str">
        <f>actors[[#Headers],[birth_year]]</f>
        <v>birth_year</v>
      </c>
    </row>
    <row r="10" spans="1:7" x14ac:dyDescent="0.3">
      <c r="A10">
        <v>58</v>
      </c>
      <c r="B10" t="s">
        <v>46</v>
      </c>
      <c r="C10">
        <v>1948</v>
      </c>
      <c r="E10" t="str" cm="1">
        <f t="array" ref="E10:G10">actors[#Headers]</f>
        <v>actor_id</v>
      </c>
      <c r="F10" t="str">
        <v>name</v>
      </c>
      <c r="G10" t="str">
        <v>birth_year</v>
      </c>
    </row>
    <row r="11" spans="1:7" x14ac:dyDescent="0.3">
      <c r="A11">
        <v>59</v>
      </c>
      <c r="B11" t="s">
        <v>47</v>
      </c>
      <c r="C11">
        <v>1965</v>
      </c>
    </row>
    <row r="12" spans="1:7" x14ac:dyDescent="0.3">
      <c r="A12">
        <v>60</v>
      </c>
      <c r="B12" t="s">
        <v>48</v>
      </c>
      <c r="C12">
        <v>1974</v>
      </c>
    </row>
    <row r="13" spans="1:7" x14ac:dyDescent="0.3">
      <c r="A13">
        <v>61</v>
      </c>
      <c r="B13" t="s">
        <v>49</v>
      </c>
      <c r="C13">
        <v>1965</v>
      </c>
    </row>
    <row r="14" spans="1:7" x14ac:dyDescent="0.3">
      <c r="A14">
        <v>62</v>
      </c>
      <c r="B14" t="s">
        <v>50</v>
      </c>
      <c r="C14">
        <v>1970</v>
      </c>
    </row>
    <row r="15" spans="1:7" x14ac:dyDescent="0.3">
      <c r="A15">
        <v>63</v>
      </c>
      <c r="B15" t="s">
        <v>51</v>
      </c>
      <c r="C15">
        <v>1979</v>
      </c>
    </row>
    <row r="16" spans="1:7" x14ac:dyDescent="0.3">
      <c r="A16">
        <v>64</v>
      </c>
      <c r="B16" t="s">
        <v>52</v>
      </c>
      <c r="C16">
        <v>1974</v>
      </c>
    </row>
    <row r="17" spans="1:3" x14ac:dyDescent="0.3">
      <c r="A17">
        <v>65</v>
      </c>
      <c r="B17" t="s">
        <v>53</v>
      </c>
      <c r="C17">
        <v>1985</v>
      </c>
    </row>
    <row r="18" spans="1:3" x14ac:dyDescent="0.3">
      <c r="A18">
        <v>66</v>
      </c>
      <c r="B18" t="s">
        <v>54</v>
      </c>
      <c r="C18">
        <v>1986</v>
      </c>
    </row>
    <row r="19" spans="1:3" x14ac:dyDescent="0.3">
      <c r="A19">
        <v>67</v>
      </c>
      <c r="B19" t="s">
        <v>55</v>
      </c>
      <c r="C19">
        <v>1958</v>
      </c>
    </row>
    <row r="20" spans="1:3" x14ac:dyDescent="0.3">
      <c r="A20">
        <v>68</v>
      </c>
      <c r="B20" t="s">
        <v>56</v>
      </c>
      <c r="C20">
        <v>1937</v>
      </c>
    </row>
    <row r="21" spans="1:3" x14ac:dyDescent="0.3">
      <c r="A21">
        <v>69</v>
      </c>
      <c r="B21" t="s">
        <v>57</v>
      </c>
      <c r="C21">
        <v>1974</v>
      </c>
    </row>
    <row r="22" spans="1:3" x14ac:dyDescent="0.3">
      <c r="A22">
        <v>70</v>
      </c>
      <c r="B22" t="s">
        <v>58</v>
      </c>
      <c r="C22">
        <v>1959</v>
      </c>
    </row>
    <row r="23" spans="1:3" x14ac:dyDescent="0.3">
      <c r="A23">
        <v>71</v>
      </c>
      <c r="B23" t="s">
        <v>59</v>
      </c>
      <c r="C23">
        <v>1969</v>
      </c>
    </row>
    <row r="24" spans="1:3" x14ac:dyDescent="0.3">
      <c r="A24">
        <v>72</v>
      </c>
      <c r="B24" t="s">
        <v>60</v>
      </c>
      <c r="C24">
        <v>1982</v>
      </c>
    </row>
    <row r="25" spans="1:3" x14ac:dyDescent="0.3">
      <c r="A25">
        <v>73</v>
      </c>
      <c r="B25" t="s">
        <v>61</v>
      </c>
      <c r="C25">
        <v>1984</v>
      </c>
    </row>
    <row r="26" spans="1:3" x14ac:dyDescent="0.3">
      <c r="A26">
        <v>74</v>
      </c>
      <c r="B26" t="s">
        <v>62</v>
      </c>
      <c r="C26">
        <v>1986</v>
      </c>
    </row>
    <row r="27" spans="1:3" x14ac:dyDescent="0.3">
      <c r="A27">
        <v>75</v>
      </c>
      <c r="B27" t="s">
        <v>63</v>
      </c>
      <c r="C27">
        <v>1968</v>
      </c>
    </row>
    <row r="28" spans="1:3" x14ac:dyDescent="0.3">
      <c r="A28">
        <v>76</v>
      </c>
      <c r="B28" t="s">
        <v>64</v>
      </c>
      <c r="C28">
        <v>1972</v>
      </c>
    </row>
    <row r="29" spans="1:3" x14ac:dyDescent="0.3">
      <c r="A29">
        <v>77</v>
      </c>
      <c r="B29" t="s">
        <v>65</v>
      </c>
      <c r="C29">
        <v>1964</v>
      </c>
    </row>
    <row r="30" spans="1:3" x14ac:dyDescent="0.3">
      <c r="A30">
        <v>78</v>
      </c>
      <c r="B30" t="s">
        <v>66</v>
      </c>
      <c r="C30">
        <v>1974</v>
      </c>
    </row>
    <row r="31" spans="1:3" x14ac:dyDescent="0.3">
      <c r="A31">
        <v>79</v>
      </c>
      <c r="B31" t="s">
        <v>67</v>
      </c>
      <c r="C31">
        <v>1975</v>
      </c>
    </row>
    <row r="32" spans="1:3" x14ac:dyDescent="0.3">
      <c r="A32">
        <v>80</v>
      </c>
      <c r="B32" t="s">
        <v>68</v>
      </c>
      <c r="C32">
        <v>1908</v>
      </c>
    </row>
    <row r="33" spans="1:3" x14ac:dyDescent="0.3">
      <c r="A33">
        <v>81</v>
      </c>
      <c r="B33" t="s">
        <v>69</v>
      </c>
      <c r="C33">
        <v>1921</v>
      </c>
    </row>
    <row r="34" spans="1:3" x14ac:dyDescent="0.3">
      <c r="A34">
        <v>82</v>
      </c>
      <c r="B34" t="s">
        <v>70</v>
      </c>
      <c r="C34">
        <v>1976</v>
      </c>
    </row>
    <row r="35" spans="1:3" x14ac:dyDescent="0.3">
      <c r="A35">
        <v>83</v>
      </c>
      <c r="B35" t="s">
        <v>71</v>
      </c>
      <c r="C35">
        <v>1978</v>
      </c>
    </row>
    <row r="36" spans="1:3" x14ac:dyDescent="0.3">
      <c r="A36">
        <v>84</v>
      </c>
      <c r="B36" t="s">
        <v>72</v>
      </c>
      <c r="C36">
        <v>1924</v>
      </c>
    </row>
    <row r="37" spans="1:3" x14ac:dyDescent="0.3">
      <c r="A37">
        <v>85</v>
      </c>
      <c r="B37" t="s">
        <v>73</v>
      </c>
      <c r="C37">
        <v>1940</v>
      </c>
    </row>
    <row r="38" spans="1:3" x14ac:dyDescent="0.3">
      <c r="A38">
        <v>86</v>
      </c>
      <c r="B38" t="s">
        <v>74</v>
      </c>
      <c r="C38">
        <v>1974</v>
      </c>
    </row>
    <row r="39" spans="1:3" x14ac:dyDescent="0.3">
      <c r="A39">
        <v>87</v>
      </c>
      <c r="B39" t="s">
        <v>75</v>
      </c>
      <c r="C39">
        <v>1979</v>
      </c>
    </row>
    <row r="40" spans="1:3" x14ac:dyDescent="0.3">
      <c r="A40">
        <v>88</v>
      </c>
      <c r="B40" t="s">
        <v>76</v>
      </c>
      <c r="C40">
        <v>1952</v>
      </c>
    </row>
    <row r="41" spans="1:3" x14ac:dyDescent="0.3">
      <c r="A41">
        <v>89</v>
      </c>
      <c r="B41" t="s">
        <v>77</v>
      </c>
      <c r="C41">
        <v>1943</v>
      </c>
    </row>
    <row r="42" spans="1:3" x14ac:dyDescent="0.3">
      <c r="A42">
        <v>90</v>
      </c>
      <c r="B42" t="s">
        <v>78</v>
      </c>
      <c r="C42">
        <v>1947</v>
      </c>
    </row>
    <row r="43" spans="1:3" x14ac:dyDescent="0.3">
      <c r="A43">
        <v>91</v>
      </c>
      <c r="B43" t="s">
        <v>79</v>
      </c>
      <c r="C43">
        <v>1967</v>
      </c>
    </row>
    <row r="44" spans="1:3" x14ac:dyDescent="0.3">
      <c r="A44">
        <v>92</v>
      </c>
      <c r="B44" t="s">
        <v>80</v>
      </c>
      <c r="C44">
        <v>1967</v>
      </c>
    </row>
    <row r="45" spans="1:3" x14ac:dyDescent="0.3">
      <c r="A45">
        <v>93</v>
      </c>
      <c r="B45" t="s">
        <v>81</v>
      </c>
      <c r="C45">
        <v>1975</v>
      </c>
    </row>
    <row r="46" spans="1:3" x14ac:dyDescent="0.3">
      <c r="A46">
        <v>94</v>
      </c>
      <c r="B46" t="s">
        <v>82</v>
      </c>
      <c r="C46">
        <v>1965</v>
      </c>
    </row>
    <row r="47" spans="1:3" x14ac:dyDescent="0.3">
      <c r="A47">
        <v>95</v>
      </c>
      <c r="B47" t="s">
        <v>83</v>
      </c>
      <c r="C47">
        <v>1981</v>
      </c>
    </row>
    <row r="48" spans="1:3" x14ac:dyDescent="0.3">
      <c r="A48">
        <v>150</v>
      </c>
      <c r="B48" t="s">
        <v>84</v>
      </c>
      <c r="C48">
        <v>1905</v>
      </c>
    </row>
    <row r="49" spans="1:3" x14ac:dyDescent="0.3">
      <c r="A49">
        <v>151</v>
      </c>
      <c r="B49" t="s">
        <v>85</v>
      </c>
      <c r="C49">
        <v>1919</v>
      </c>
    </row>
    <row r="50" spans="1:3" x14ac:dyDescent="0.3">
      <c r="A50">
        <v>152</v>
      </c>
      <c r="B50" t="s">
        <v>86</v>
      </c>
      <c r="C50">
        <v>1997</v>
      </c>
    </row>
    <row r="51" spans="1:3" x14ac:dyDescent="0.3">
      <c r="A51">
        <v>153</v>
      </c>
      <c r="B51" t="s">
        <v>87</v>
      </c>
      <c r="C51">
        <v>1929</v>
      </c>
    </row>
    <row r="52" spans="1:3" x14ac:dyDescent="0.3">
      <c r="A52">
        <v>154</v>
      </c>
      <c r="B52" t="s">
        <v>88</v>
      </c>
      <c r="C52">
        <v>1988</v>
      </c>
    </row>
    <row r="53" spans="1:3" x14ac:dyDescent="0.3">
      <c r="A53">
        <v>155</v>
      </c>
      <c r="B53" t="s">
        <v>89</v>
      </c>
      <c r="C53">
        <v>1982</v>
      </c>
    </row>
    <row r="54" spans="1:3" x14ac:dyDescent="0.3">
      <c r="A54">
        <v>156</v>
      </c>
      <c r="B54" t="s">
        <v>90</v>
      </c>
      <c r="C54">
        <v>1982</v>
      </c>
    </row>
    <row r="55" spans="1:3" x14ac:dyDescent="0.3">
      <c r="A55">
        <v>157</v>
      </c>
      <c r="B55" t="s">
        <v>91</v>
      </c>
      <c r="C55">
        <v>1982</v>
      </c>
    </row>
    <row r="56" spans="1:3" x14ac:dyDescent="0.3">
      <c r="A56">
        <v>158</v>
      </c>
      <c r="B56" t="s">
        <v>92</v>
      </c>
      <c r="C56">
        <v>1983</v>
      </c>
    </row>
    <row r="57" spans="1:3" x14ac:dyDescent="0.3">
      <c r="A57">
        <v>159</v>
      </c>
      <c r="B57" t="s">
        <v>93</v>
      </c>
      <c r="C57">
        <v>1985</v>
      </c>
    </row>
    <row r="58" spans="1:3" x14ac:dyDescent="0.3">
      <c r="A58">
        <v>160</v>
      </c>
      <c r="B58" t="s">
        <v>94</v>
      </c>
      <c r="C58">
        <v>1979</v>
      </c>
    </row>
    <row r="59" spans="1:3" x14ac:dyDescent="0.3">
      <c r="A59">
        <v>161</v>
      </c>
      <c r="B59" t="s">
        <v>95</v>
      </c>
      <c r="C59">
        <v>1984</v>
      </c>
    </row>
    <row r="60" spans="1:3" x14ac:dyDescent="0.3">
      <c r="A60">
        <v>162</v>
      </c>
      <c r="B60" t="s">
        <v>96</v>
      </c>
      <c r="C60">
        <v>1950</v>
      </c>
    </row>
    <row r="61" spans="1:3" x14ac:dyDescent="0.3">
      <c r="A61">
        <v>163</v>
      </c>
      <c r="B61" t="s">
        <v>97</v>
      </c>
      <c r="C61">
        <v>1955</v>
      </c>
    </row>
    <row r="62" spans="1:3" x14ac:dyDescent="0.3">
      <c r="A62">
        <v>164</v>
      </c>
      <c r="B62" t="s">
        <v>98</v>
      </c>
      <c r="C62">
        <v>1965</v>
      </c>
    </row>
    <row r="63" spans="1:3" x14ac:dyDescent="0.3">
      <c r="A63">
        <v>165</v>
      </c>
      <c r="B63" t="s">
        <v>99</v>
      </c>
      <c r="C63">
        <v>1967</v>
      </c>
    </row>
    <row r="64" spans="1:3" x14ac:dyDescent="0.3">
      <c r="A64">
        <v>166</v>
      </c>
      <c r="B64" t="s">
        <v>100</v>
      </c>
      <c r="C64">
        <v>1946</v>
      </c>
    </row>
    <row r="65" spans="1:3" x14ac:dyDescent="0.3">
      <c r="A65">
        <v>167</v>
      </c>
      <c r="B65" t="s">
        <v>101</v>
      </c>
      <c r="C65">
        <v>1982</v>
      </c>
    </row>
    <row r="66" spans="1:3" x14ac:dyDescent="0.3">
      <c r="A66">
        <v>168</v>
      </c>
      <c r="B66" t="s">
        <v>102</v>
      </c>
      <c r="C66">
        <v>1956</v>
      </c>
    </row>
    <row r="67" spans="1:3" x14ac:dyDescent="0.3">
      <c r="A67">
        <v>169</v>
      </c>
      <c r="B67" t="s">
        <v>103</v>
      </c>
      <c r="C67">
        <v>1985</v>
      </c>
    </row>
    <row r="68" spans="1:3" x14ac:dyDescent="0.3">
      <c r="A68">
        <v>170</v>
      </c>
      <c r="B68" t="s">
        <v>104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B2" sqref="B2:B3"/>
    </sheetView>
  </sheetViews>
  <sheetFormatPr defaultRowHeight="14.4" x14ac:dyDescent="0.3"/>
  <cols>
    <col min="1" max="1" width="9.88671875" customWidth="1"/>
  </cols>
  <sheetData>
    <row r="1" spans="1:2" x14ac:dyDescent="0.3">
      <c r="A1" s="2" t="s">
        <v>0</v>
      </c>
      <c r="B1" s="2" t="s">
        <v>35</v>
      </c>
    </row>
    <row r="2" spans="1:2" x14ac:dyDescent="0.3">
      <c r="A2">
        <v>101</v>
      </c>
      <c r="B2">
        <v>50</v>
      </c>
    </row>
    <row r="3" spans="1:2" x14ac:dyDescent="0.3">
      <c r="A3">
        <v>101</v>
      </c>
      <c r="B3">
        <v>51</v>
      </c>
    </row>
    <row r="4" spans="1:2" x14ac:dyDescent="0.3">
      <c r="A4">
        <v>102</v>
      </c>
      <c r="B4">
        <v>52</v>
      </c>
    </row>
    <row r="5" spans="1:2" x14ac:dyDescent="0.3">
      <c r="A5">
        <v>102</v>
      </c>
      <c r="B5">
        <v>53</v>
      </c>
    </row>
    <row r="6" spans="1:2" x14ac:dyDescent="0.3">
      <c r="A6">
        <v>103</v>
      </c>
      <c r="B6">
        <v>54</v>
      </c>
    </row>
    <row r="7" spans="1:2" x14ac:dyDescent="0.3">
      <c r="A7">
        <v>103</v>
      </c>
      <c r="B7">
        <v>55</v>
      </c>
    </row>
    <row r="8" spans="1:2" x14ac:dyDescent="0.3">
      <c r="A8">
        <v>103</v>
      </c>
      <c r="B8">
        <v>56</v>
      </c>
    </row>
    <row r="9" spans="1:2" x14ac:dyDescent="0.3">
      <c r="A9">
        <v>104</v>
      </c>
      <c r="B9">
        <v>54</v>
      </c>
    </row>
    <row r="10" spans="1:2" x14ac:dyDescent="0.3">
      <c r="A10">
        <v>104</v>
      </c>
      <c r="B10">
        <v>56</v>
      </c>
    </row>
    <row r="11" spans="1:2" x14ac:dyDescent="0.3">
      <c r="A11">
        <v>105</v>
      </c>
      <c r="B11">
        <v>54</v>
      </c>
    </row>
    <row r="12" spans="1:2" x14ac:dyDescent="0.3">
      <c r="A12">
        <v>105</v>
      </c>
      <c r="B12">
        <v>55</v>
      </c>
    </row>
    <row r="13" spans="1:2" x14ac:dyDescent="0.3">
      <c r="A13">
        <v>106</v>
      </c>
      <c r="B13">
        <v>57</v>
      </c>
    </row>
    <row r="14" spans="1:2" x14ac:dyDescent="0.3">
      <c r="A14">
        <v>106</v>
      </c>
      <c r="B14">
        <v>58</v>
      </c>
    </row>
    <row r="15" spans="1:2" x14ac:dyDescent="0.3">
      <c r="A15">
        <v>107</v>
      </c>
      <c r="B15">
        <v>59</v>
      </c>
    </row>
    <row r="16" spans="1:2" x14ac:dyDescent="0.3">
      <c r="A16">
        <v>107</v>
      </c>
      <c r="B16">
        <v>60</v>
      </c>
    </row>
    <row r="17" spans="1:2" x14ac:dyDescent="0.3">
      <c r="A17">
        <v>108</v>
      </c>
      <c r="B17">
        <v>61</v>
      </c>
    </row>
    <row r="18" spans="1:2" x14ac:dyDescent="0.3">
      <c r="A18">
        <v>108</v>
      </c>
      <c r="B18">
        <v>62</v>
      </c>
    </row>
    <row r="19" spans="1:2" x14ac:dyDescent="0.3">
      <c r="A19">
        <v>108</v>
      </c>
      <c r="B19">
        <v>63</v>
      </c>
    </row>
    <row r="20" spans="1:2" x14ac:dyDescent="0.3">
      <c r="A20">
        <v>109</v>
      </c>
      <c r="B20">
        <v>59</v>
      </c>
    </row>
    <row r="21" spans="1:2" x14ac:dyDescent="0.3">
      <c r="A21">
        <v>109</v>
      </c>
      <c r="B21">
        <v>57</v>
      </c>
    </row>
    <row r="22" spans="1:2" x14ac:dyDescent="0.3">
      <c r="A22">
        <v>109</v>
      </c>
      <c r="B22">
        <v>64</v>
      </c>
    </row>
    <row r="23" spans="1:2" x14ac:dyDescent="0.3">
      <c r="A23">
        <v>110</v>
      </c>
      <c r="B23">
        <v>65</v>
      </c>
    </row>
    <row r="24" spans="1:2" x14ac:dyDescent="0.3">
      <c r="A24">
        <v>110</v>
      </c>
      <c r="B24">
        <v>66</v>
      </c>
    </row>
    <row r="25" spans="1:2" x14ac:dyDescent="0.3">
      <c r="A25">
        <v>111</v>
      </c>
      <c r="B25">
        <v>67</v>
      </c>
    </row>
    <row r="26" spans="1:2" x14ac:dyDescent="0.3">
      <c r="A26">
        <v>111</v>
      </c>
      <c r="B26">
        <v>68</v>
      </c>
    </row>
    <row r="27" spans="1:2" x14ac:dyDescent="0.3">
      <c r="A27">
        <v>112</v>
      </c>
      <c r="B27">
        <v>69</v>
      </c>
    </row>
    <row r="28" spans="1:2" x14ac:dyDescent="0.3">
      <c r="A28">
        <v>112</v>
      </c>
      <c r="B28">
        <v>70</v>
      </c>
    </row>
    <row r="29" spans="1:2" x14ac:dyDescent="0.3">
      <c r="A29">
        <v>113</v>
      </c>
      <c r="B29">
        <v>71</v>
      </c>
    </row>
    <row r="30" spans="1:2" x14ac:dyDescent="0.3">
      <c r="A30">
        <v>113</v>
      </c>
      <c r="B30">
        <v>72</v>
      </c>
    </row>
    <row r="31" spans="1:2" x14ac:dyDescent="0.3">
      <c r="A31">
        <v>114</v>
      </c>
      <c r="B31">
        <v>73</v>
      </c>
    </row>
    <row r="32" spans="1:2" x14ac:dyDescent="0.3">
      <c r="A32">
        <v>114</v>
      </c>
      <c r="B32">
        <v>74</v>
      </c>
    </row>
    <row r="33" spans="1:2" x14ac:dyDescent="0.3">
      <c r="A33">
        <v>115</v>
      </c>
      <c r="B33">
        <v>75</v>
      </c>
    </row>
    <row r="34" spans="1:2" x14ac:dyDescent="0.3">
      <c r="A34">
        <v>115</v>
      </c>
      <c r="B34">
        <v>76</v>
      </c>
    </row>
    <row r="35" spans="1:2" x14ac:dyDescent="0.3">
      <c r="A35">
        <v>116</v>
      </c>
      <c r="B35">
        <v>77</v>
      </c>
    </row>
    <row r="36" spans="1:2" x14ac:dyDescent="0.3">
      <c r="A36">
        <v>116</v>
      </c>
      <c r="B36">
        <v>78</v>
      </c>
    </row>
    <row r="37" spans="1:2" x14ac:dyDescent="0.3">
      <c r="A37">
        <v>117</v>
      </c>
      <c r="B37">
        <v>69</v>
      </c>
    </row>
    <row r="38" spans="1:2" x14ac:dyDescent="0.3">
      <c r="A38">
        <v>117</v>
      </c>
      <c r="B38">
        <v>79</v>
      </c>
    </row>
    <row r="39" spans="1:2" x14ac:dyDescent="0.3">
      <c r="A39">
        <v>118</v>
      </c>
      <c r="B39">
        <v>80</v>
      </c>
    </row>
    <row r="40" spans="1:2" x14ac:dyDescent="0.3">
      <c r="A40">
        <v>118</v>
      </c>
      <c r="B40">
        <v>81</v>
      </c>
    </row>
    <row r="41" spans="1:2" x14ac:dyDescent="0.3">
      <c r="A41">
        <v>119</v>
      </c>
      <c r="B41">
        <v>82</v>
      </c>
    </row>
    <row r="42" spans="1:2" x14ac:dyDescent="0.3">
      <c r="A42">
        <v>119</v>
      </c>
      <c r="B42">
        <v>83</v>
      </c>
    </row>
    <row r="43" spans="1:2" x14ac:dyDescent="0.3">
      <c r="A43">
        <v>120</v>
      </c>
      <c r="B43">
        <v>84</v>
      </c>
    </row>
    <row r="44" spans="1:2" x14ac:dyDescent="0.3">
      <c r="A44">
        <v>120</v>
      </c>
      <c r="B44">
        <v>85</v>
      </c>
    </row>
    <row r="45" spans="1:2" x14ac:dyDescent="0.3">
      <c r="A45">
        <v>121</v>
      </c>
      <c r="B45">
        <v>86</v>
      </c>
    </row>
    <row r="46" spans="1:2" x14ac:dyDescent="0.3">
      <c r="A46">
        <v>121</v>
      </c>
      <c r="B46">
        <v>87</v>
      </c>
    </row>
    <row r="47" spans="1:2" x14ac:dyDescent="0.3">
      <c r="A47">
        <v>122</v>
      </c>
      <c r="B47">
        <v>88</v>
      </c>
    </row>
    <row r="48" spans="1:2" x14ac:dyDescent="0.3">
      <c r="A48">
        <v>122</v>
      </c>
      <c r="B48">
        <v>89</v>
      </c>
    </row>
    <row r="49" spans="1:2" x14ac:dyDescent="0.3">
      <c r="A49">
        <v>123</v>
      </c>
      <c r="B49">
        <v>90</v>
      </c>
    </row>
    <row r="50" spans="1:2" x14ac:dyDescent="0.3">
      <c r="A50">
        <v>123</v>
      </c>
      <c r="B50">
        <v>91</v>
      </c>
    </row>
    <row r="51" spans="1:2" x14ac:dyDescent="0.3">
      <c r="A51">
        <v>124</v>
      </c>
      <c r="B51">
        <v>92</v>
      </c>
    </row>
    <row r="52" spans="1:2" x14ac:dyDescent="0.3">
      <c r="A52">
        <v>124</v>
      </c>
      <c r="B52">
        <v>93</v>
      </c>
    </row>
    <row r="53" spans="1:2" x14ac:dyDescent="0.3">
      <c r="A53">
        <v>125</v>
      </c>
      <c r="B53">
        <v>94</v>
      </c>
    </row>
    <row r="54" spans="1:2" x14ac:dyDescent="0.3">
      <c r="A54">
        <v>125</v>
      </c>
      <c r="B54">
        <v>95</v>
      </c>
    </row>
    <row r="55" spans="1:2" x14ac:dyDescent="0.3">
      <c r="A55">
        <v>125</v>
      </c>
      <c r="B55">
        <v>54</v>
      </c>
    </row>
    <row r="56" spans="1:2" x14ac:dyDescent="0.3">
      <c r="A56">
        <v>126</v>
      </c>
      <c r="B56">
        <v>94</v>
      </c>
    </row>
    <row r="57" spans="1:2" x14ac:dyDescent="0.3">
      <c r="A57">
        <v>126</v>
      </c>
      <c r="B57">
        <v>95</v>
      </c>
    </row>
    <row r="58" spans="1:2" x14ac:dyDescent="0.3">
      <c r="A58">
        <v>126</v>
      </c>
      <c r="B58">
        <v>54</v>
      </c>
    </row>
    <row r="59" spans="1:2" x14ac:dyDescent="0.3">
      <c r="A59">
        <v>127</v>
      </c>
      <c r="B59">
        <v>150</v>
      </c>
    </row>
    <row r="60" spans="1:2" x14ac:dyDescent="0.3">
      <c r="A60">
        <v>127</v>
      </c>
      <c r="B60">
        <v>151</v>
      </c>
    </row>
    <row r="61" spans="1:2" x14ac:dyDescent="0.3">
      <c r="A61">
        <v>128</v>
      </c>
      <c r="B61">
        <v>61</v>
      </c>
    </row>
    <row r="62" spans="1:2" x14ac:dyDescent="0.3">
      <c r="A62">
        <v>128</v>
      </c>
      <c r="B62">
        <v>152</v>
      </c>
    </row>
    <row r="63" spans="1:2" x14ac:dyDescent="0.3">
      <c r="A63">
        <v>129</v>
      </c>
      <c r="B63">
        <v>51</v>
      </c>
    </row>
    <row r="64" spans="1:2" x14ac:dyDescent="0.3">
      <c r="A64">
        <v>129</v>
      </c>
      <c r="B64">
        <v>153</v>
      </c>
    </row>
    <row r="65" spans="1:2" x14ac:dyDescent="0.3">
      <c r="A65">
        <v>130</v>
      </c>
      <c r="B65">
        <v>61</v>
      </c>
    </row>
    <row r="66" spans="1:2" x14ac:dyDescent="0.3">
      <c r="A66">
        <v>130</v>
      </c>
      <c r="B66">
        <v>154</v>
      </c>
    </row>
    <row r="67" spans="1:2" x14ac:dyDescent="0.3">
      <c r="A67">
        <v>131</v>
      </c>
      <c r="B67">
        <v>155</v>
      </c>
    </row>
    <row r="68" spans="1:2" x14ac:dyDescent="0.3">
      <c r="A68">
        <v>131</v>
      </c>
      <c r="B68">
        <v>154</v>
      </c>
    </row>
    <row r="69" spans="1:2" x14ac:dyDescent="0.3">
      <c r="A69">
        <v>132</v>
      </c>
      <c r="B69">
        <v>156</v>
      </c>
    </row>
    <row r="70" spans="1:2" x14ac:dyDescent="0.3">
      <c r="A70">
        <v>132</v>
      </c>
      <c r="B70">
        <v>157</v>
      </c>
    </row>
    <row r="71" spans="1:2" x14ac:dyDescent="0.3">
      <c r="A71">
        <v>133</v>
      </c>
      <c r="B71">
        <v>158</v>
      </c>
    </row>
    <row r="72" spans="1:2" x14ac:dyDescent="0.3">
      <c r="A72">
        <v>133</v>
      </c>
      <c r="B72">
        <v>159</v>
      </c>
    </row>
    <row r="73" spans="1:2" x14ac:dyDescent="0.3">
      <c r="A73">
        <v>134</v>
      </c>
      <c r="B73">
        <v>160</v>
      </c>
    </row>
    <row r="74" spans="1:2" x14ac:dyDescent="0.3">
      <c r="A74">
        <v>134</v>
      </c>
      <c r="B74">
        <v>161</v>
      </c>
    </row>
    <row r="75" spans="1:2" x14ac:dyDescent="0.3">
      <c r="A75">
        <v>135</v>
      </c>
      <c r="B75">
        <v>162</v>
      </c>
    </row>
    <row r="76" spans="1:2" x14ac:dyDescent="0.3">
      <c r="A76">
        <v>135</v>
      </c>
      <c r="B76">
        <v>163</v>
      </c>
    </row>
    <row r="77" spans="1:2" x14ac:dyDescent="0.3">
      <c r="A77">
        <v>136</v>
      </c>
      <c r="B77">
        <v>164</v>
      </c>
    </row>
    <row r="78" spans="1:2" x14ac:dyDescent="0.3">
      <c r="A78">
        <v>136</v>
      </c>
      <c r="B78">
        <v>165</v>
      </c>
    </row>
    <row r="79" spans="1:2" x14ac:dyDescent="0.3">
      <c r="A79">
        <v>137</v>
      </c>
      <c r="B79">
        <v>95</v>
      </c>
    </row>
    <row r="80" spans="1:2" x14ac:dyDescent="0.3">
      <c r="A80">
        <v>137</v>
      </c>
      <c r="B80">
        <v>166</v>
      </c>
    </row>
    <row r="81" spans="1:2" x14ac:dyDescent="0.3">
      <c r="A81">
        <v>138</v>
      </c>
      <c r="B81">
        <v>95</v>
      </c>
    </row>
    <row r="82" spans="1:2" x14ac:dyDescent="0.3">
      <c r="A82">
        <v>138</v>
      </c>
      <c r="B82">
        <v>167</v>
      </c>
    </row>
    <row r="83" spans="1:2" x14ac:dyDescent="0.3">
      <c r="A83">
        <v>139</v>
      </c>
      <c r="B83">
        <v>164</v>
      </c>
    </row>
    <row r="84" spans="1:2" x14ac:dyDescent="0.3">
      <c r="A84">
        <v>139</v>
      </c>
      <c r="B84">
        <v>168</v>
      </c>
    </row>
    <row r="85" spans="1:2" x14ac:dyDescent="0.3">
      <c r="A85">
        <v>140</v>
      </c>
      <c r="B85">
        <v>169</v>
      </c>
    </row>
    <row r="86" spans="1:2" x14ac:dyDescent="0.3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A4" sqref="A4"/>
    </sheetView>
  </sheetViews>
  <sheetFormatPr defaultRowHeight="14.4" x14ac:dyDescent="0.3"/>
  <cols>
    <col min="1" max="1" width="12.44140625" customWidth="1"/>
  </cols>
  <sheetData>
    <row r="1" spans="1:2" x14ac:dyDescent="0.3">
      <c r="A1" s="2" t="s">
        <v>5</v>
      </c>
      <c r="B1" s="2" t="s">
        <v>36</v>
      </c>
    </row>
    <row r="2" spans="1:2" x14ac:dyDescent="0.3">
      <c r="A2">
        <v>1</v>
      </c>
      <c r="B2" t="s">
        <v>105</v>
      </c>
    </row>
    <row r="3" spans="1:2" x14ac:dyDescent="0.3">
      <c r="A3">
        <v>2</v>
      </c>
      <c r="B3" t="s">
        <v>106</v>
      </c>
    </row>
    <row r="4" spans="1:2" x14ac:dyDescent="0.3">
      <c r="A4">
        <v>3</v>
      </c>
      <c r="B4" t="s">
        <v>107</v>
      </c>
    </row>
    <row r="5" spans="1:2" x14ac:dyDescent="0.3">
      <c r="A5">
        <v>4</v>
      </c>
      <c r="B5" t="s">
        <v>108</v>
      </c>
    </row>
    <row r="6" spans="1:2" x14ac:dyDescent="0.3">
      <c r="A6">
        <v>5</v>
      </c>
      <c r="B6" t="s">
        <v>109</v>
      </c>
    </row>
    <row r="7" spans="1:2" x14ac:dyDescent="0.3">
      <c r="A7">
        <v>6</v>
      </c>
      <c r="B7" t="s">
        <v>110</v>
      </c>
    </row>
    <row r="8" spans="1:2" x14ac:dyDescent="0.3">
      <c r="A8">
        <v>7</v>
      </c>
      <c r="B8" t="s">
        <v>111</v>
      </c>
    </row>
    <row r="9" spans="1:2" x14ac:dyDescent="0.3">
      <c r="A9">
        <v>8</v>
      </c>
      <c r="B9" t="s">
        <v>112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BB25-744C-45BE-8F92-9A418CFCADCB}">
  <dimension ref="A1:D6"/>
  <sheetViews>
    <sheetView zoomScale="295" zoomScaleNormal="295" workbookViewId="0">
      <selection activeCell="E2" sqref="E2"/>
    </sheetView>
  </sheetViews>
  <sheetFormatPr defaultRowHeight="14.4" x14ac:dyDescent="0.3"/>
  <cols>
    <col min="1" max="1" width="11.5546875" customWidth="1"/>
    <col min="4" max="4" width="23.88671875" customWidth="1"/>
  </cols>
  <sheetData>
    <row r="1" spans="1:4" x14ac:dyDescent="0.3">
      <c r="A1" s="3" t="s">
        <v>158</v>
      </c>
      <c r="B1" s="3" t="s">
        <v>159</v>
      </c>
    </row>
    <row r="2" spans="1:4" x14ac:dyDescent="0.3">
      <c r="A2" t="s">
        <v>160</v>
      </c>
      <c r="B2">
        <v>20</v>
      </c>
    </row>
    <row r="3" spans="1:4" x14ac:dyDescent="0.3">
      <c r="A3" t="s">
        <v>161</v>
      </c>
      <c r="B3">
        <v>15</v>
      </c>
    </row>
    <row r="4" spans="1:4" x14ac:dyDescent="0.3">
      <c r="A4" t="s">
        <v>162</v>
      </c>
      <c r="B4">
        <v>13</v>
      </c>
    </row>
    <row r="5" spans="1:4" x14ac:dyDescent="0.3">
      <c r="A5" t="s">
        <v>163</v>
      </c>
      <c r="B5">
        <v>7</v>
      </c>
    </row>
    <row r="6" spans="1:4" x14ac:dyDescent="0.3">
      <c r="D6">
        <f>MATCH("revenue", Financials[#Headers],0)</f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movies</vt:lpstr>
      <vt:lpstr>financials</vt:lpstr>
      <vt:lpstr>actors</vt:lpstr>
      <vt:lpstr>movie_actor</vt:lpstr>
      <vt:lpstr>languages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SAHIL BABAR</cp:lastModifiedBy>
  <dcterms:created xsi:type="dcterms:W3CDTF">2015-06-05T18:17:20Z</dcterms:created>
  <dcterms:modified xsi:type="dcterms:W3CDTF">2025-11-29T16:44:40Z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